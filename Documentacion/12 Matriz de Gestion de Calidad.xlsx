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 Alex\Ingenieria Software 2\Proyecto Ingenieria II\Documentacion\"/>
    </mc:Choice>
  </mc:AlternateContent>
  <xr:revisionPtr revIDLastSave="0" documentId="13_ncr:1_{8CCD307D-9169-497F-A23E-64F55BC3335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1" r:id="rId1"/>
    <sheet name="Matriz de calidad" sheetId="2" r:id="rId2"/>
    <sheet name="Catálogos" sheetId="3" state="hidden" r:id="rId3"/>
    <sheet name="Métricas de calida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2" l="1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M8" i="2"/>
  <c r="J8" i="2"/>
  <c r="B9" i="1" s="1"/>
  <c r="D8" i="2"/>
  <c r="G8" i="2" s="1"/>
  <c r="A8" i="2"/>
  <c r="J14" i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B11" i="1"/>
  <c r="J10" i="1"/>
  <c r="I10" i="1"/>
  <c r="H10" i="1"/>
  <c r="G10" i="1"/>
  <c r="F10" i="1"/>
  <c r="E10" i="1"/>
  <c r="B10" i="1"/>
  <c r="J9" i="1"/>
  <c r="I9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B7" i="1"/>
  <c r="J6" i="1"/>
  <c r="I6" i="1"/>
  <c r="H6" i="1"/>
  <c r="G6" i="1"/>
  <c r="F6" i="1"/>
  <c r="E6" i="1"/>
  <c r="B6" i="1"/>
  <c r="P8" i="2" l="1"/>
  <c r="B12" i="1" s="1"/>
  <c r="B8" i="1"/>
</calcChain>
</file>

<file path=xl/sharedStrings.xml><?xml version="1.0" encoding="utf-8"?>
<sst xmlns="http://schemas.openxmlformats.org/spreadsheetml/2006/main" count="780" uniqueCount="481">
  <si>
    <t>BARRIO SOLIDARIO</t>
  </si>
  <si>
    <t>Resumen de cumplimiento de calidad del MVP</t>
  </si>
  <si>
    <t>Indicador</t>
  </si>
  <si>
    <t>Resultado</t>
  </si>
  <si>
    <t>Categoría</t>
  </si>
  <si>
    <t>Total</t>
  </si>
  <si>
    <t>Evaluados</t>
  </si>
  <si>
    <t>Cumple</t>
  </si>
  <si>
    <t>Parcial</t>
  </si>
  <si>
    <t>No cumple</t>
  </si>
  <si>
    <t>Cumplimiento</t>
  </si>
  <si>
    <t>Total de criterios</t>
  </si>
  <si>
    <t>Funcionalidad</t>
  </si>
  <si>
    <t>Criterios evaluados</t>
  </si>
  <si>
    <t>Seguridad</t>
  </si>
  <si>
    <t>Avance de evaluación</t>
  </si>
  <si>
    <t>Accesibilidad</t>
  </si>
  <si>
    <t>Cumplimiento ponderado</t>
  </si>
  <si>
    <t>Identidad visual</t>
  </si>
  <si>
    <t>Porcentaje de aceptación</t>
  </si>
  <si>
    <t>Rendimiento</t>
  </si>
  <si>
    <t>Incumplimientos Highest</t>
  </si>
  <si>
    <t>Confiabilidad</t>
  </si>
  <si>
    <t>Estado general</t>
  </si>
  <si>
    <t>Compatibilidad</t>
  </si>
  <si>
    <t>Mantenibilidad</t>
  </si>
  <si>
    <t>Gestión</t>
  </si>
  <si>
    <t>Versión</t>
  </si>
  <si>
    <t>Fecha</t>
  </si>
  <si>
    <t>Cambio</t>
  </si>
  <si>
    <t>Responsable</t>
  </si>
  <si>
    <t>Estado</t>
  </si>
  <si>
    <t>0.1.0</t>
  </si>
  <si>
    <t>Estructura y alcance inicial.</t>
  </si>
  <si>
    <t>Luis Rodríguez Barrera</t>
  </si>
  <si>
    <t>Completado</t>
  </si>
  <si>
    <t>0.2.0</t>
  </si>
  <si>
    <t>Criterios funcionales del MVP.</t>
  </si>
  <si>
    <t>Víctor Tello Bravo</t>
  </si>
  <si>
    <t>0.3.0</t>
  </si>
  <si>
    <t>Controles técnicos y de seguridad.</t>
  </si>
  <si>
    <t>Kevin Carriel Bonoso / Luis Ramírez Conejo</t>
  </si>
  <si>
    <t>0.4.0</t>
  </si>
  <si>
    <t>Accesibilidad e identidad visual.</t>
  </si>
  <si>
    <t>Mario Luzardo Fierro / Luis Rodríguez Barrera</t>
  </si>
  <si>
    <t>0.5.0</t>
  </si>
  <si>
    <t>Controles de gestión y trazabilidad.</t>
  </si>
  <si>
    <t>Alex Mendoza Morante / Víctor Tello Bravo</t>
  </si>
  <si>
    <t>0.6.0</t>
  </si>
  <si>
    <t>Escala y seguimiento de correcciones.</t>
  </si>
  <si>
    <t>0.7.0</t>
  </si>
  <si>
    <t>Indicadores de cumplimiento.</t>
  </si>
  <si>
    <t>Luis Rodríguez Barrera / Alex Mendoza Morante</t>
  </si>
  <si>
    <t>0.8.0</t>
  </si>
  <si>
    <t>Revisión integral.</t>
  </si>
  <si>
    <t>Equipo del proyecto</t>
  </si>
  <si>
    <t>1.0.0</t>
  </si>
  <si>
    <t>Consolidación de la versión vigente.</t>
  </si>
  <si>
    <t>Alex Mendoza Morante / Luis Rodríguez Barrera</t>
  </si>
  <si>
    <t>Vigente</t>
  </si>
  <si>
    <t>Identificación del documento</t>
  </si>
  <si>
    <t>Información</t>
  </si>
  <si>
    <t>Código</t>
  </si>
  <si>
    <t>DOC-08</t>
  </si>
  <si>
    <t>Documento</t>
  </si>
  <si>
    <t>Matriz de Gestión de Calidad del MVP</t>
  </si>
  <si>
    <t>Proyecto</t>
  </si>
  <si>
    <t>Barrio Solidario</t>
  </si>
  <si>
    <t>Versión vigente</t>
  </si>
  <si>
    <t>En elaboración</t>
  </si>
  <si>
    <t>Fecha de creación</t>
  </si>
  <si>
    <t>Fecha de actualización</t>
  </si>
  <si>
    <t>Sprint relacionado</t>
  </si>
  <si>
    <t>Sprint 3</t>
  </si>
  <si>
    <t>Periodo del Sprint</t>
  </si>
  <si>
    <t>06/09/2026 al 18/09/2026</t>
  </si>
  <si>
    <t>Propietario</t>
  </si>
  <si>
    <t>Consolidación</t>
  </si>
  <si>
    <t>Alex Mendoza Morante</t>
  </si>
  <si>
    <t>Revisión funcional</t>
  </si>
  <si>
    <t>Revisión técnica</t>
  </si>
  <si>
    <t>Kevin Carriel Bonoso</t>
  </si>
  <si>
    <t>Código: DOC-08</t>
  </si>
  <si>
    <t>Estado: En elaboración</t>
  </si>
  <si>
    <t>Propietario: Luis Rodríguez Barrera</t>
  </si>
  <si>
    <t>Revisión funcional: Víctor Tello Bravo</t>
  </si>
  <si>
    <t>Revisión técnica: Kevin Carriel Bonoso</t>
  </si>
  <si>
    <t>Consolidación: Alex Mendoza Morante</t>
  </si>
  <si>
    <t>CUMPLIMIENTO DE CALIDAD</t>
  </si>
  <si>
    <t>Aceptación</t>
  </si>
  <si>
    <t>Criterios aplicables: Cumple = 2; Cumple parcialmente = 1; No cumple = 0; No aplica se excluye del cálculo.</t>
  </si>
  <si>
    <t>Elemento evaluado</t>
  </si>
  <si>
    <t>Criterio de calidad</t>
  </si>
  <si>
    <t>Indicador o criterio de aceptación</t>
  </si>
  <si>
    <t>Método y evidencia esperada</t>
  </si>
  <si>
    <t>Responsable de revisión</t>
  </si>
  <si>
    <t>Prioridad</t>
  </si>
  <si>
    <t>Estado de evaluación</t>
  </si>
  <si>
    <t>Valor obtenido</t>
  </si>
  <si>
    <t>Fecha de revisión</t>
  </si>
  <si>
    <t>Evidencia real</t>
  </si>
  <si>
    <t>Observación</t>
  </si>
  <si>
    <t>Acción correctiva</t>
  </si>
  <si>
    <t>Responsable de corrección</t>
  </si>
  <si>
    <t>Fecha compromiso</t>
  </si>
  <si>
    <t>Estado de corrección</t>
  </si>
  <si>
    <t>Portal público</t>
  </si>
  <si>
    <t>Presenta información general del proyecto.</t>
  </si>
  <si>
    <t>Se visualizan propósito, funcionamiento, usuarios, beneficios y contacto.</t>
  </si>
  <si>
    <t>Inspección funcional y capturas.</t>
  </si>
  <si>
    <t>High</t>
  </si>
  <si>
    <t>Evaluado</t>
  </si>
  <si>
    <t>Navegación pública</t>
  </si>
  <si>
    <t>Los enlaces dirigen a la sección correspondiente.</t>
  </si>
  <si>
    <t>El 100 % de enlaces principales funciona.</t>
  </si>
  <si>
    <t>Prueba de navegación y capturas.</t>
  </si>
  <si>
    <t>Mario Luzardo Fierro</t>
  </si>
  <si>
    <t>Registro de usuarios</t>
  </si>
  <si>
    <t>El visitante puede registrar una cuenta.</t>
  </si>
  <si>
    <t>La cuenta se almacena cuando los datos son válidos.</t>
  </si>
  <si>
    <t>Prueba funcional y registro en base de datos.</t>
  </si>
  <si>
    <t>Highest</t>
  </si>
  <si>
    <t>Validación de registro</t>
  </si>
  <si>
    <t>El sistema rechaza datos incompletos o incorrectos.</t>
  </si>
  <si>
    <t>Los campos obligatorios y formatos inválidos generan mensajes.</t>
  </si>
  <si>
    <t>Pruebas positivas y negativas.</t>
  </si>
  <si>
    <t>Pendiente</t>
  </si>
  <si>
    <t>Correo único</t>
  </si>
  <si>
    <t>No se permite duplicar una cuenta.</t>
  </si>
  <si>
    <t>El sistema rechaza un correo previamente registrado.</t>
  </si>
  <si>
    <t>Prueba de duplicidad y consulta de datos.</t>
  </si>
  <si>
    <t>Luis Ramírez Conejo</t>
  </si>
  <si>
    <t>Inicio de sesión</t>
  </si>
  <si>
    <t>El usuario accede con credenciales válidas.</t>
  </si>
  <si>
    <t>Se crea una sesión y se permite acceder al panel.</t>
  </si>
  <si>
    <t>Caso de prueba y captura del acceso.</t>
  </si>
  <si>
    <t>Credenciales incorrectas</t>
  </si>
  <si>
    <t>El sistema rechaza accesos inválidos.</t>
  </si>
  <si>
    <t>No se crea una sesión y se muestra un mensaje comprensible.</t>
  </si>
  <si>
    <t>Prueba negativa y captura.</t>
  </si>
  <si>
    <t>Cierre de sesión</t>
  </si>
  <si>
    <t>El usuario puede finalizar su sesión.</t>
  </si>
  <si>
    <t>El panel queda inaccesible después de cerrar sesión.</t>
  </si>
  <si>
    <t>Prueba funcional y de acceso directo.</t>
  </si>
  <si>
    <t>Recuperación de contraseña</t>
  </si>
  <si>
    <t>El usuario puede solicitar la recuperación.</t>
  </si>
  <si>
    <t>El sistema procesa un correo registrado y presenta confirmación.</t>
  </si>
  <si>
    <t>Caso de prueba y captura.</t>
  </si>
  <si>
    <t>Cambio de contraseña</t>
  </si>
  <si>
    <t>El usuario puede establecer una nueva contraseña.</t>
  </si>
  <si>
    <t>La nueva clave funciona y la anterior queda invalidada.</t>
  </si>
  <si>
    <t>Prueba de recuperación y acceso.</t>
  </si>
  <si>
    <t>Panel principal</t>
  </si>
  <si>
    <t>El usuario autenticado accede al panel básico.</t>
  </si>
  <si>
    <t>Se muestran nombre, rol y opciones autorizadas.</t>
  </si>
  <si>
    <t>Inspección funcional y captura.</t>
  </si>
  <si>
    <t>Perfil básico</t>
  </si>
  <si>
    <t>El usuario consulta y actualiza los datos permitidos.</t>
  </si>
  <si>
    <t>Los cambios válidos se almacenan correctamente.</t>
  </si>
  <si>
    <t>Prueba antes y después de la actualización.</t>
  </si>
  <si>
    <t>Contraseñas almacenadas</t>
  </si>
  <si>
    <t>Las contraseñas no se guardan en texto plano.</t>
  </si>
  <si>
    <t>La base de datos conserva únicamente el hash.</t>
  </si>
  <si>
    <t>Revisión de código y base de datos anonimizada.</t>
  </si>
  <si>
    <t>Política de contraseñas</t>
  </si>
  <si>
    <t>Se aplican reglas mínimas de seguridad.</t>
  </si>
  <si>
    <t>Se rechazan contraseñas que no cumplen las reglas definidas.</t>
  </si>
  <si>
    <t>Pruebas de valores válidos e inválidos.</t>
  </si>
  <si>
    <t>Sesiones</t>
  </si>
  <si>
    <t>Las páginas privadas requieren autenticación.</t>
  </si>
  <si>
    <t>Un visitante es redirigido al login.</t>
  </si>
  <si>
    <t>Acceso directo mediante URL.</t>
  </si>
  <si>
    <t>Roles y permisos</t>
  </si>
  <si>
    <t>Cada rol accede únicamente a funciones autorizadas.</t>
  </si>
  <si>
    <t>Se deniegan las opciones que no corresponden al usuario.</t>
  </si>
  <si>
    <t>Pruebas con diferentes roles.</t>
  </si>
  <si>
    <t>Validación en servidor</t>
  </si>
  <si>
    <t>Python valida los datos recibidos.</t>
  </si>
  <si>
    <t>Modificar el HTML no permite omitir las validaciones.</t>
  </si>
  <si>
    <t>Prueba directa de rutas y servicios.</t>
  </si>
  <si>
    <t>Mensajes de error</t>
  </si>
  <si>
    <t>Los errores no revelan información sensible.</t>
  </si>
  <si>
    <t>No se muestran consultas, contraseñas, rutas internas o trazas.</t>
  </si>
  <si>
    <t>Pruebas negativas y capturas.</t>
  </si>
  <si>
    <t>Datos personales</t>
  </si>
  <si>
    <t>Solo se solicitan datos necesarios para el MVP.</t>
  </si>
  <si>
    <t>No se recopila información ajena al registro, acceso y perfil.</t>
  </si>
  <si>
    <t>Revisión de formularios y modelo de datos.</t>
  </si>
  <si>
    <t>Registro de eventos</t>
  </si>
  <si>
    <t>Se registran accesos y operaciones relevantes.</t>
  </si>
  <si>
    <t>El registro contiene fecha, usuario y evento sin contraseñas.</t>
  </si>
  <si>
    <t>Revisión de logs o tabla de auditoría.</t>
  </si>
  <si>
    <t>Low</t>
  </si>
  <si>
    <t>Configuración sensible</t>
  </si>
  <si>
    <t>Las claves no se escriben directamente en el código.</t>
  </si>
  <si>
    <t>Se utilizan variables de entorno o configuración protegida.</t>
  </si>
  <si>
    <t>Revisión del código y repositorio.</t>
  </si>
  <si>
    <t>Contraste</t>
  </si>
  <si>
    <t>El texto tiene contraste suficiente.</t>
  </si>
  <si>
    <t>Mínimo 4.5:1 para texto normal y 3:1 para texto grande.</t>
  </si>
  <si>
    <t>Herramienta de contraste y captura.</t>
  </si>
  <si>
    <t>Navegación por teclado</t>
  </si>
  <si>
    <t>Las funciones principales pueden operarse sin ratón.</t>
  </si>
  <si>
    <t>Se accede mediante Tab, Enter y barra espaciadora.</t>
  </si>
  <si>
    <t>Prueba manual y lista de comprobación.</t>
  </si>
  <si>
    <t>Foco visible</t>
  </si>
  <si>
    <t>El elemento seleccionado es claramente identificable.</t>
  </si>
  <si>
    <t>Todos los controles interactivos muestran foco visible.</t>
  </si>
  <si>
    <t>Inspección visual y capturas.</t>
  </si>
  <si>
    <t>Etiquetas de formularios</t>
  </si>
  <si>
    <t>Todos los campos tienen etiquetas asociadas.</t>
  </si>
  <si>
    <t>El 100 % de campos utiliza etiquetas vinculadas.</t>
  </si>
  <si>
    <t>Revisión visual y del código HTML.</t>
  </si>
  <si>
    <t>Mensajes de validación</t>
  </si>
  <si>
    <t>Los errores explican el problema y cómo corregirlo.</t>
  </si>
  <si>
    <t>El mensaje identifica el campo y la acción requerida.</t>
  </si>
  <si>
    <t>Prueba con datos inválidos.</t>
  </si>
  <si>
    <t>Uso del color</t>
  </si>
  <si>
    <t>La información no depende exclusivamente del color.</t>
  </si>
  <si>
    <t>Estados y errores también utilizan texto o símbolos.</t>
  </si>
  <si>
    <t>Inspección de pantallas.</t>
  </si>
  <si>
    <t>Ampliación de contenido</t>
  </si>
  <si>
    <t>La interfaz funciona con zoom del 200 %.</t>
  </si>
  <si>
    <t>No se pierde información ni funcionalidad principal.</t>
  </si>
  <si>
    <t>Prueba de navegador y captura.</t>
  </si>
  <si>
    <t>Orden de lectura</t>
  </si>
  <si>
    <t>La estructura visual y el HTML siguen una secuencia lógica.</t>
  </si>
  <si>
    <t>Encabezados, campos y acciones mantienen orden comprensible.</t>
  </si>
  <si>
    <t>Inspección y navegación por teclado.</t>
  </si>
  <si>
    <t>Tamaño de controles</t>
  </si>
  <si>
    <t>Botones y enlaces pueden seleccionarse fácilmente.</t>
  </si>
  <si>
    <t>Los controles tienen tamaño y separación adecuados.</t>
  </si>
  <si>
    <t>Inspección en diferentes resoluciones.</t>
  </si>
  <si>
    <t>Lenguaje comprensible</t>
  </si>
  <si>
    <t>Los textos son sencillos y directos.</t>
  </si>
  <si>
    <t>No existen mensajes técnicos innecesarios o ambiguos.</t>
  </si>
  <si>
    <t>Revisión funcional de contenido.</t>
  </si>
  <si>
    <t>Acompañamiento</t>
  </si>
  <si>
    <t>El adulto mayor puede recibir apoyo de un cuidador.</t>
  </si>
  <si>
    <t>El diseño no obliga al adulto mayor a gestionar solo el sistema.</t>
  </si>
  <si>
    <t>Revisión de requisitos y pantallas.</t>
  </si>
  <si>
    <t>Azul institucional</t>
  </si>
  <si>
    <t>Se utiliza #2A3966 en encabezados y navegación.</t>
  </si>
  <si>
    <t>El color se aplica consistentemente.</t>
  </si>
  <si>
    <t>Revisión de CSS y capturas.</t>
  </si>
  <si>
    <t>Magenta de acción</t>
  </si>
  <si>
    <t>Se utiliza #C92351 en acciones principales.</t>
  </si>
  <si>
    <t>El magenta destaca botones principales sin saturar la interfaz.</t>
  </si>
  <si>
    <t>Revisión visual y de CSS.</t>
  </si>
  <si>
    <t>Fondo blanco</t>
  </si>
  <si>
    <t>Se utiliza #FFFFFF en áreas principales de lectura.</t>
  </si>
  <si>
    <t>El contenido mantiene claridad y legibilidad.</t>
  </si>
  <si>
    <t>Inspección visual.</t>
  </si>
  <si>
    <t>Gris claro</t>
  </si>
  <si>
    <t>Se utiliza #E9EBF0 en fondos y elementos secundarios.</t>
  </si>
  <si>
    <t>Las tarjetas y campos se distinguen correctamente.</t>
  </si>
  <si>
    <t>Inspección visual y de CSS.</t>
  </si>
  <si>
    <t>Texto principal</t>
  </si>
  <si>
    <t>Se utiliza #212937 o un tono equivalente.</t>
  </si>
  <si>
    <t>El texto mantiene contraste sobre fondos claros.</t>
  </si>
  <si>
    <t>Medición de contraste.</t>
  </si>
  <si>
    <t>Tipografía</t>
  </si>
  <si>
    <t>Se utiliza una familia sans serif legible.</t>
  </si>
  <si>
    <t>La misma familia se mantiene en todas las pantallas.</t>
  </si>
  <si>
    <t>Revisión de CSS.</t>
  </si>
  <si>
    <t>Jerarquía tipográfica</t>
  </si>
  <si>
    <t>Títulos, subtítulos, cuerpo y etiquetas se diferencian.</t>
  </si>
  <si>
    <t>Los tamaños y pesos mantienen jerarquía uniforme.</t>
  </si>
  <si>
    <t>Comparación de pantallas.</t>
  </si>
  <si>
    <t>Encabezado</t>
  </si>
  <si>
    <t>Las pantallas conservan el encabezado del proyecto.</t>
  </si>
  <si>
    <t>El componente mantiene logotipo, navegación y acciones.</t>
  </si>
  <si>
    <t>Comparación visual.</t>
  </si>
  <si>
    <t>Botones</t>
  </si>
  <si>
    <t>Las acciones principales y secundarias se diferencian.</t>
  </si>
  <si>
    <t>Existe una acción principal claramente identificable.</t>
  </si>
  <si>
    <t>Consistencia</t>
  </si>
  <si>
    <t>Campos, tarjetas, márgenes y botones mantienen el estilo.</t>
  </si>
  <si>
    <t>No existen diferencias visuales sin justificación.</t>
  </si>
  <si>
    <t>Lista de comprobación y capturas.</t>
  </si>
  <si>
    <t>Carga de páginas</t>
  </si>
  <si>
    <t>Las páginas cargan en un tiempo adecuado.</t>
  </si>
  <si>
    <t>Tiempo máximo de 3 segundos en el ambiente de prueba.</t>
  </si>
  <si>
    <t>Medición con herramientas del navegador.</t>
  </si>
  <si>
    <t>Respuesta de servicios</t>
  </si>
  <si>
    <t>Los servicios responden sin demoras perceptibles.</t>
  </si>
  <si>
    <t>Registro, login y perfil responden en máximo 2 segundos localmente.</t>
  </si>
  <si>
    <t>Registro de tiempos de respuesta.</t>
  </si>
  <si>
    <t>Manejo de errores</t>
  </si>
  <si>
    <t>Una entrada inválida no detiene la aplicación.</t>
  </si>
  <si>
    <t>El sistema mantiene la operación y presenta un mensaje controlado.</t>
  </si>
  <si>
    <t>Pruebas negativas.</t>
  </si>
  <si>
    <t>Persistencia</t>
  </si>
  <si>
    <t>Los datos permanecen después de reiniciar la aplicación.</t>
  </si>
  <si>
    <t>Los registros guardados pueden consultarse nuevamente.</t>
  </si>
  <si>
    <t>Reinicio y consulta de datos.</t>
  </si>
  <si>
    <t>Navegadores</t>
  </si>
  <si>
    <t>La aplicación funciona en Chrome y Edge.</t>
  </si>
  <si>
    <t>Los flujos principales se completan en ambos navegadores.</t>
  </si>
  <si>
    <t>Prueba de compatibilidad y capturas.</t>
  </si>
  <si>
    <t>Diseño adaptable</t>
  </si>
  <si>
    <t>La interfaz funciona en diferentes resoluciones.</t>
  </si>
  <si>
    <t>No existen superposiciones ni desplazamiento horizontal injustificado.</t>
  </si>
  <si>
    <t>Prueba responsiva y capturas.</t>
  </si>
  <si>
    <t>Estructura Python</t>
  </si>
  <si>
    <t>El proyecto separa modelos, rutas, servicios y configuración.</t>
  </si>
  <si>
    <t>La estructura corresponde con la arquitectura aprobada.</t>
  </si>
  <si>
    <t>Revisión técnica y árbol de carpetas.</t>
  </si>
  <si>
    <t>Métodos y servicios</t>
  </si>
  <si>
    <t>Cada método tiene una responsabilidad definida.</t>
  </si>
  <si>
    <t>La lógica no se concentra en una sola ruta o archivo.</t>
  </si>
  <si>
    <t>Revisión de código.</t>
  </si>
  <si>
    <t>Convenciones de código</t>
  </si>
  <si>
    <t>Los nombres son claros y consistentes.</t>
  </si>
  <si>
    <t>El código sigue una convención uniforme.</t>
  </si>
  <si>
    <t>Lista de comprobación técnica.</t>
  </si>
  <si>
    <t>Código duplicado</t>
  </si>
  <si>
    <t>Se reutilizan funciones y componentes comunes.</t>
  </si>
  <si>
    <t>No existen bloques relevantes duplicados.</t>
  </si>
  <si>
    <t>Documentación técnica</t>
  </si>
  <si>
    <t>Los métodos describen finalidad, parámetros y respuestas.</t>
  </si>
  <si>
    <t>Registro, login, perfil y recuperación están documentados.</t>
  </si>
  <si>
    <t>Revisión de código y documentación.</t>
  </si>
  <si>
    <t>Ejecución reproducible</t>
  </si>
  <si>
    <t>Otro integrante puede ejecutar el proyecto.</t>
  </si>
  <si>
    <t>El README contiene instalación, configuración y ejecución.</t>
  </si>
  <si>
    <t>Prueba de instalación y README.</t>
  </si>
  <si>
    <t>Control de versiones</t>
  </si>
  <si>
    <t>El código se encuentra en Git.</t>
  </si>
  <si>
    <t>Los cambios poseen commits identificables y no incluyen credenciales.</t>
  </si>
  <si>
    <t>Revisión del repositorio.</t>
  </si>
  <si>
    <t>Planificación en Jira</t>
  </si>
  <si>
    <t>Las épicas, tareas y subtareas están registradas.</t>
  </si>
  <si>
    <t>El 100 % tiene responsable, fechas y prioridad.</t>
  </si>
  <si>
    <t>Revisión y captura de Jira.</t>
  </si>
  <si>
    <t>Evidencias</t>
  </si>
  <si>
    <t>Las actividades finalizadas incluyen evidencia.</t>
  </si>
  <si>
    <t>Las tareas terminadas poseen archivo, captura, código o resultado.</t>
  </si>
  <si>
    <t>Revisión de adjuntos en Jira.</t>
  </si>
  <si>
    <t>Trazabilidad</t>
  </si>
  <si>
    <t>Los requisitos se relacionan con historias, pantallas, métodos y pruebas.</t>
  </si>
  <si>
    <t>Cada función del MVP posee implementación y evidencia de prueba.</t>
  </si>
  <si>
    <t>Revisión de matriz de trazabilidad.</t>
  </si>
  <si>
    <t>Documento de Visión</t>
  </si>
  <si>
    <t>Incluye cronograma, calidad, riesgos, cambios y BPMN.</t>
  </si>
  <si>
    <t>Todas las secciones solicitadas están incluidas y numeradas.</t>
  </si>
  <si>
    <t>Revisión documental.</t>
  </si>
  <si>
    <t>Control documental</t>
  </si>
  <si>
    <t>Los cambios incluyen fecha, descripción y responsable.</t>
  </si>
  <si>
    <t>La versión vigente puede identificarse claramente.</t>
  </si>
  <si>
    <t>Inspección de la tabla de versiones.</t>
  </si>
  <si>
    <t>Gestión de cambios</t>
  </si>
  <si>
    <t>Las modificaciones se registran antes de aplicarse.</t>
  </si>
  <si>
    <t>Los cambios relevantes poseen solicitud y decisión.</t>
  </si>
  <si>
    <t>Revisión del registro de cambios.</t>
  </si>
  <si>
    <t>Gestión de defectos</t>
  </si>
  <si>
    <t>Los defectos se registran y asignan.</t>
  </si>
  <si>
    <t>Cada defecto tiene descripción, evidencia, prioridad y responsable.</t>
  </si>
  <si>
    <t>Revisión de incidencias en Jira.</t>
  </si>
  <si>
    <t>Diagramas BPMN</t>
  </si>
  <si>
    <t>Los procesos representan el comportamiento documentado.</t>
  </si>
  <si>
    <t>Los diagramas son legibles y coherentes con requisitos y pantallas.</t>
  </si>
  <si>
    <t>Revisión funcional y técnica.</t>
  </si>
  <si>
    <t>Alcance del MVP</t>
  </si>
  <si>
    <t>El desarrollo se mantiene dentro del alcance aprobado.</t>
  </si>
  <si>
    <t>No se anteponen funciones futuras a registro, acceso y panel principal.</t>
  </si>
  <si>
    <t>Comparación con el documento del MVP.</t>
  </si>
  <si>
    <t>Responsables</t>
  </si>
  <si>
    <t>Fuentes</t>
  </si>
  <si>
    <t>No requerida</t>
  </si>
  <si>
    <t>S05 Software_Project_Quality_and_Risk.pdf</t>
  </si>
  <si>
    <t>En evaluación</t>
  </si>
  <si>
    <t>Cumple parcialmente</t>
  </si>
  <si>
    <t>10 MVP.pdf</t>
  </si>
  <si>
    <t>En proceso</t>
  </si>
  <si>
    <t>Lowest</t>
  </si>
  <si>
    <t>No aplica</t>
  </si>
  <si>
    <t>Corregida</t>
  </si>
  <si>
    <t>Aceptada</t>
  </si>
  <si>
    <t>Ing. Victoria García Velásquez</t>
  </si>
  <si>
    <t>1.1.0</t>
  </si>
  <si>
    <t>19/09/2026</t>
  </si>
  <si>
    <t>Incorporación de métricas con las columnas recomendadas por la docente.</t>
  </si>
  <si>
    <t>Versión: 1.1.0</t>
  </si>
  <si>
    <t>Actualización: 19/09/2026</t>
  </si>
  <si>
    <t>MÉTRICAS DE CALIDAD DEL MVP</t>
  </si>
  <si>
    <t>Estructura adaptada de la plantilla S06 Métricas de Calidad proporcionada para el Sprint 3</t>
  </si>
  <si>
    <t>Las métricas permiten verificar el desempeño del proyecto y la calidad del MVP. Cada meta debe comprobarse con la fuente indicada y dentro del proceso correspondiente.</t>
  </si>
  <si>
    <t>Nro</t>
  </si>
  <si>
    <t>Qué queremos medir</t>
  </si>
  <si>
    <t>Objetivo de Proyecto</t>
  </si>
  <si>
    <t>Métrica</t>
  </si>
  <si>
    <t>Meta</t>
  </si>
  <si>
    <t>Fuente de datos</t>
  </si>
  <si>
    <t>Proceso</t>
  </si>
  <si>
    <t>Cumplimiento del cronograma del Sprint</t>
  </si>
  <si>
    <t>Determinar si las actividades planificadas se completan dentro del periodo establecido.</t>
  </si>
  <si>
    <t>SPI = avance ejecutado / avance planificado</t>
  </si>
  <si>
    <t>≥ 0,95</t>
  </si>
  <si>
    <t>Jira y Plan de Seguimiento del Sprint</t>
  </si>
  <si>
    <t>Control del cronograma</t>
  </si>
  <si>
    <t>Cumplimiento del alcance del MVP</t>
  </si>
  <si>
    <t>Verificar que el desarrollo priorizado corresponda con el alcance aprobado del MVP.</t>
  </si>
  <si>
    <t>Requisitos del MVP implementados y aceptados / requisitos planificados</t>
  </si>
  <si>
    <t>≥ 95 % y ningún requisito crítico omitido</t>
  </si>
  <si>
    <t>Documento MVP, Product Backlog y Jira</t>
  </si>
  <si>
    <t>Gestión del alcance</t>
  </si>
  <si>
    <t>Cumplimiento de requisitos funcionales</t>
  </si>
  <si>
    <t>Comprobar que las funciones desarrolladas respondan a los requisitos aprobados.</t>
  </si>
  <si>
    <t>Requisitos funcionales conformes / requisitos funcionales evaluados</t>
  </si>
  <si>
    <t>≥ 95 %</t>
  </si>
  <si>
    <t>Especificación de Requerimientos y resultados de pruebas</t>
  </si>
  <si>
    <t>Control de calidad</t>
  </si>
  <si>
    <t>Aprobación de pruebas funcionales</t>
  </si>
  <si>
    <t>Medir la proporción de casos de prueba ejecutados satisfactoriamente.</t>
  </si>
  <si>
    <t>Casos de prueba aprobados / casos de prueba ejecutados</t>
  </si>
  <si>
    <t>≥ 95 % y 100 % de los casos Highest</t>
  </si>
  <si>
    <t>Plan de pruebas, evidencias y registro de defectos</t>
  </si>
  <si>
    <t>Aseguramiento de la calidad</t>
  </si>
  <si>
    <t>Cierre de defectos y observaciones</t>
  </si>
  <si>
    <t>Medir la atención de defectos y observaciones generados durante las revisiones.</t>
  </si>
  <si>
    <t>Defectos cerrados y verificados / defectos registrados</t>
  </si>
  <si>
    <t>≥ 90 % y 100 % de defectos críticos</t>
  </si>
  <si>
    <t>Jira, registro de incidencias y evidencias de corrección</t>
  </si>
  <si>
    <t>Gestión de la calidad</t>
  </si>
  <si>
    <t>Cumplimiento de controles de seguridad</t>
  </si>
  <si>
    <t>Verificar autenticación, autorización, protección de contraseñas y manejo seguro de datos.</t>
  </si>
  <si>
    <t>Controles de seguridad conformes / controles evaluados</t>
  </si>
  <si>
    <t>100 % de controles Highest y ≥ 95 % total</t>
  </si>
  <si>
    <t>Matriz de calidad, pruebas de seguridad y revisión de código</t>
  </si>
  <si>
    <t>Seguridad del software</t>
  </si>
  <si>
    <t>Cumplimiento de accesibilidad</t>
  </si>
  <si>
    <t>Verificar que las pantallas priorizadas sean comprensibles y operables por distintos usuarios.</t>
  </si>
  <si>
    <t>Criterios de accesibilidad conformes / criterios evaluados</t>
  </si>
  <si>
    <t>≥ 90 % y sin incumplimientos críticos</t>
  </si>
  <si>
    <t>Lista de verificación WCAG, pruebas de teclado y capturas</t>
  </si>
  <si>
    <t>Diseño y accesibilidad</t>
  </si>
  <si>
    <t>Consistencia visual del producto</t>
  </si>
  <si>
    <t>Comprobar la aplicación de colores, tipografía, encabezados y componentes definidos.</t>
  </si>
  <si>
    <t>Pantallas conformes con lineamientos visuales / pantallas revisadas</t>
  </si>
  <si>
    <t>Wireframes, CSS, lineamientos visuales y capturas</t>
  </si>
  <si>
    <t>Diseño UI/UX</t>
  </si>
  <si>
    <t>Rendimiento de páginas y servicios</t>
  </si>
  <si>
    <t>Verificar que las funciones principales respondan en tiempos aceptables.</t>
  </si>
  <si>
    <t>Tiempo promedio de carga de páginas y respuesta de servicios</t>
  </si>
  <si>
    <t>Páginas ≤ 3 s; servicios principales ≤ 2 s en pruebas</t>
  </si>
  <si>
    <t>Herramientas del navegador y registros de tiempos</t>
  </si>
  <si>
    <t>Control del rendimiento</t>
  </si>
  <si>
    <t>Trazabilidad de requisitos</t>
  </si>
  <si>
    <t>Confirmar la relación entre requisitos, historias, pantallas, clases, código y pruebas.</t>
  </si>
  <si>
    <t>Requisitos con trazabilidad completa / requisitos del MVP</t>
  </si>
  <si>
    <t>100 %</t>
  </si>
  <si>
    <t>Matriz de trazabilidad, Jira, modelos y repositorio Git</t>
  </si>
  <si>
    <t>Gestión de requisitos</t>
  </si>
  <si>
    <t>Cumplimiento documental</t>
  </si>
  <si>
    <t>Medir el cumplimiento de estructura, versionamiento, coherencia y entregables académicos.</t>
  </si>
  <si>
    <t>Documentos conformes / documentos revisados</t>
  </si>
  <si>
    <t>≥ 97 %</t>
  </si>
  <si>
    <t>Lista de revisión, Documento de Visión y repositorio documental</t>
  </si>
  <si>
    <t>Gestión documental</t>
  </si>
  <si>
    <t>Mantenibilidad del código</t>
  </si>
  <si>
    <t>Verificar estructura, convenciones, documentación técnica y ausencia de duplicación relevante.</t>
  </si>
  <si>
    <t>Criterios de mantenibilidad conformes / criterios evaluados</t>
  </si>
  <si>
    <t>≥ 90 %</t>
  </si>
  <si>
    <t>Revisión de código, README y repositorio Git</t>
  </si>
  <si>
    <t>Desarrollo de software</t>
  </si>
  <si>
    <t>Evidencias de actividades completadas</t>
  </si>
  <si>
    <t>Comprobar que las tareas finalizadas cuenten con evidencia suficiente.</t>
  </si>
  <si>
    <t>Tareas cerradas con evidencia / tareas cerradas</t>
  </si>
  <si>
    <t>Jira, repositorio documental y Git</t>
  </si>
  <si>
    <t>Seguimiento del proyecto</t>
  </si>
  <si>
    <t>Gestión de riesgos y cambios</t>
  </si>
  <si>
    <t>Verificar que los riesgos y cambios relevantes sean analizados, tratados y documentados.</t>
  </si>
  <si>
    <t>Riesgos y cambios con tratamiento registrado / riesgos y cambios identificados</t>
  </si>
  <si>
    <t>100 % de elementos altos o críticos y ≥ 95 % total</t>
  </si>
  <si>
    <t>Matriz de riesgos y registro de gestión de cambios</t>
  </si>
  <si>
    <t>Aceptación de entregables</t>
  </si>
  <si>
    <t>Medir la aceptación de los resultados revisados por el Product Owner y la patrocinadora académica.</t>
  </si>
  <si>
    <t>Entregables aceptados / entregables presentados</t>
  </si>
  <si>
    <t>Actas, revisiones, Jira y registros de aprobación</t>
  </si>
  <si>
    <t>Validación y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</si>
</sst>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12937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4"/>
      <color rgb="FFFFFFFF"/>
      <name val="Arial"/>
    </font>
    <font>
      <sz val="9"/>
      <color rgb="FF212937"/>
      <name val="Arial"/>
    </font>
    <font>
      <b/>
      <sz val="11"/>
      <color rgb="FFFFFFFF"/>
      <name val="Arial"/>
    </font>
    <font>
      <b/>
      <sz val="9"/>
      <color rgb="FF212937"/>
      <name val="Arial"/>
    </font>
    <font>
      <b/>
      <sz val="12"/>
      <color rgb="FF212937"/>
      <name val="Arial"/>
    </font>
    <font>
      <i/>
      <sz val="9"/>
      <color rgb="FF212937"/>
      <name val="Arial"/>
    </font>
    <font>
      <b/>
      <sz val="9"/>
      <color rgb="FFFFFFFF"/>
      <name val="Arial"/>
    </font>
    <font>
      <b/>
      <sz val="11"/>
      <color rgb="FF212937"/>
      <name val="Arial"/>
    </font>
    <font>
      <b/>
      <sz val="15"/>
      <color rgb="FFFFFFFF"/>
      <name val="Arial"/>
    </font>
    <font>
      <i/>
      <sz val="10"/>
      <color rgb="FF212937"/>
      <name val="Arial"/>
    </font>
  </fonts>
  <fills count="9">
    <fill>
      <patternFill patternType="none"/>
    </fill>
    <fill>
      <patternFill patternType="gray125"/>
    </fill>
    <fill>
      <patternFill patternType="solid">
        <fgColor rgb="FF2A3966"/>
      </patternFill>
    </fill>
    <fill>
      <patternFill patternType="solid">
        <fgColor rgb="FFE9EBF0"/>
      </patternFill>
    </fill>
    <fill>
      <patternFill patternType="solid">
        <fgColor rgb="FFC92351"/>
      </patternFill>
    </fill>
    <fill>
      <patternFill patternType="solid">
        <fgColor rgb="FF2A3966"/>
      </patternFill>
    </fill>
    <fill>
      <patternFill patternType="solid">
        <fgColor rgb="FFC92351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/>
      <right style="thin">
        <color rgb="FFE9EBF0"/>
      </right>
      <top/>
      <bottom style="thin">
        <color rgb="FFE9EBF0"/>
      </bottom>
      <diagonal/>
    </border>
    <border>
      <left style="thin">
        <color rgb="FFE9EBF0"/>
      </left>
      <right style="thin">
        <color rgb="FFE9EBF0"/>
      </right>
      <top/>
      <bottom style="thin">
        <color rgb="FFE9EBF0"/>
      </bottom>
      <diagonal/>
    </border>
    <border>
      <left style="thin">
        <color rgb="FFE9EBF0"/>
      </left>
      <right/>
      <top/>
      <bottom style="thin">
        <color rgb="FFE9EBF0"/>
      </bottom>
      <diagonal/>
    </border>
    <border>
      <left/>
      <right style="thin">
        <color rgb="FFE9EBF0"/>
      </right>
      <top style="thin">
        <color rgb="FFE9EBF0"/>
      </top>
      <bottom style="thin">
        <color rgb="FFE9EBF0"/>
      </bottom>
      <diagonal/>
    </border>
    <border>
      <left style="thin">
        <color rgb="FFE9EBF0"/>
      </left>
      <right style="thin">
        <color rgb="FFE9EBF0"/>
      </right>
      <top style="thin">
        <color rgb="FFE9EBF0"/>
      </top>
      <bottom style="thin">
        <color rgb="FFE9EBF0"/>
      </bottom>
      <diagonal/>
    </border>
    <border>
      <left style="thin">
        <color rgb="FFE9EBF0"/>
      </left>
      <right/>
      <top style="thin">
        <color rgb="FFE9EBF0"/>
      </top>
      <bottom style="thin">
        <color rgb="FFE9EBF0"/>
      </bottom>
      <diagonal/>
    </border>
    <border>
      <left/>
      <right style="thin">
        <color rgb="FFE9EBF0"/>
      </right>
      <top style="thin">
        <color rgb="FFE9EBF0"/>
      </top>
      <bottom/>
      <diagonal/>
    </border>
    <border>
      <left style="thin">
        <color rgb="FFE9EBF0"/>
      </left>
      <right style="thin">
        <color rgb="FFE9EBF0"/>
      </right>
      <top style="thin">
        <color rgb="FFE9EBF0"/>
      </top>
      <bottom/>
      <diagonal/>
    </border>
    <border>
      <left style="thin">
        <color rgb="FFE9EBF0"/>
      </left>
      <right/>
      <top style="thin">
        <color rgb="FFE9EBF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9EBF0"/>
      </bottom>
      <diagonal/>
    </border>
    <border>
      <left/>
      <right/>
      <top style="thin">
        <color rgb="FFE9EBF0"/>
      </top>
      <bottom style="thin">
        <color rgb="FFE9EBF0"/>
      </bottom>
      <diagonal/>
    </border>
    <border>
      <left/>
      <right/>
      <top style="thin">
        <color rgb="FFE9EBF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0" xfId="0" applyFill="1"/>
    <xf numFmtId="0" fontId="0" fillId="4" borderId="0" xfId="0" applyFill="1"/>
    <xf numFmtId="0" fontId="7" fillId="3" borderId="0" xfId="0" applyFont="1" applyFill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top" wrapText="1"/>
    </xf>
    <xf numFmtId="0" fontId="5" fillId="0" borderId="26" xfId="0" applyFont="1" applyBorder="1" applyAlignment="1">
      <alignment vertical="top" wrapText="1"/>
    </xf>
    <xf numFmtId="0" fontId="5" fillId="0" borderId="27" xfId="0" applyFont="1" applyBorder="1" applyAlignment="1">
      <alignment vertical="top" wrapText="1"/>
    </xf>
    <xf numFmtId="14" fontId="5" fillId="0" borderId="25" xfId="0" applyNumberFormat="1" applyFont="1" applyBorder="1" applyAlignment="1">
      <alignment vertical="top" wrapText="1"/>
    </xf>
    <xf numFmtId="14" fontId="5" fillId="0" borderId="26" xfId="0" applyNumberFormat="1" applyFont="1" applyBorder="1" applyAlignment="1">
      <alignment vertical="top" wrapText="1"/>
    </xf>
    <xf numFmtId="14" fontId="5" fillId="0" borderId="27" xfId="0" applyNumberFormat="1" applyFont="1" applyBorder="1" applyAlignment="1">
      <alignment vertical="top" wrapText="1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9" fontId="1" fillId="0" borderId="26" xfId="0" applyNumberFormat="1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9" fontId="1" fillId="0" borderId="25" xfId="0" applyNumberFormat="1" applyFont="1" applyBorder="1" applyAlignment="1">
      <alignment vertical="center"/>
    </xf>
    <xf numFmtId="9" fontId="1" fillId="0" borderId="27" xfId="0" applyNumberFormat="1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4" fontId="5" fillId="0" borderId="25" xfId="0" applyNumberFormat="1" applyFont="1" applyBorder="1" applyAlignment="1">
      <alignment vertical="center"/>
    </xf>
    <xf numFmtId="14" fontId="5" fillId="0" borderId="26" xfId="0" applyNumberFormat="1" applyFont="1" applyBorder="1" applyAlignment="1">
      <alignment vertical="center"/>
    </xf>
    <xf numFmtId="14" fontId="5" fillId="0" borderId="27" xfId="0" applyNumberFormat="1" applyFont="1" applyBorder="1" applyAlignment="1">
      <alignment vertical="center"/>
    </xf>
    <xf numFmtId="0" fontId="2" fillId="5" borderId="28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vertical="center" wrapText="1"/>
    </xf>
    <xf numFmtId="0" fontId="5" fillId="8" borderId="28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vertical="center" wrapText="1"/>
    </xf>
    <xf numFmtId="0" fontId="5" fillId="7" borderId="28" xfId="0" applyFont="1" applyFill="1" applyBorder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3" fillId="7" borderId="28" xfId="0" applyFont="1" applyFill="1" applyBorder="1" applyAlignment="1">
      <alignment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0" fillId="2" borderId="0" xfId="0" applyFill="1"/>
    <xf numFmtId="0" fontId="9" fillId="0" borderId="0" xfId="0" applyFont="1" applyAlignment="1">
      <alignment vertic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9" fontId="8" fillId="0" borderId="17" xfId="0" applyNumberFormat="1" applyFont="1" applyBorder="1" applyAlignment="1">
      <alignment horizontal="center" vertical="center"/>
    </xf>
    <xf numFmtId="9" fontId="8" fillId="0" borderId="20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</cellXfs>
  <cellStyles count="1">
    <cellStyle name="Normal" xfId="0" builtinId="0"/>
  </cellStyles>
  <dxfs count="17">
    <dxf>
      <font>
        <b/>
        <color rgb="FF212937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B5E2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B5E20"/>
      </font>
      <fill>
        <patternFill>
          <bgColor rgb="FFD9EAD3"/>
        </patternFill>
      </fill>
    </dxf>
    <dxf>
      <font>
        <color rgb="FF212937"/>
      </font>
      <fill>
        <patternFill>
          <bgColor rgb="FFD9D9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color rgb="FF212937"/>
      </font>
      <fill>
        <patternFill>
          <bgColor rgb="FFD9D9D9"/>
        </patternFill>
      </fill>
    </dxf>
    <dxf>
      <font>
        <color rgb="FF212937"/>
      </font>
      <fill>
        <patternFill>
          <bgColor rgb="FFDCE6F1"/>
        </patternFill>
      </fill>
    </dxf>
    <dxf>
      <font>
        <b/>
        <color rgb="FF212937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12937"/>
      </font>
      <fill>
        <patternFill>
          <bgColor rgb="FFD9D9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B5E20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0</xdr:col>
      <xdr:colOff>1047750</xdr:colOff>
      <xdr:row>1</xdr:row>
      <xdr:rowOff>205740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1007745</xdr:colOff>
      <xdr:row>1</xdr:row>
      <xdr:rowOff>205740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MatrixTable" displayName="QualityMatrixTable" ref="A12:Q76" totalsRowShown="0">
  <autoFilter ref="A12:Q76" xr:uid="{00000000-0009-0000-0100-000001000000}"/>
  <tableColumns count="17">
    <tableColumn id="1" xr3:uid="{00000000-0010-0000-0000-000001000000}" name="Categoría"/>
    <tableColumn id="2" xr3:uid="{00000000-0010-0000-0000-000002000000}" name="Elemento evaluado"/>
    <tableColumn id="3" xr3:uid="{00000000-0010-0000-0000-000003000000}" name="Criterio de calidad"/>
    <tableColumn id="4" xr3:uid="{00000000-0010-0000-0000-000004000000}" name="Indicador o criterio de aceptación"/>
    <tableColumn id="5" xr3:uid="{00000000-0010-0000-0000-000005000000}" name="Método y evidencia esperada"/>
    <tableColumn id="6" xr3:uid="{00000000-0010-0000-0000-000006000000}" name="Responsable de revisión"/>
    <tableColumn id="7" xr3:uid="{00000000-0010-0000-0000-000007000000}" name="Prioridad"/>
    <tableColumn id="8" xr3:uid="{00000000-0010-0000-0000-000008000000}" name="Estado de evaluación"/>
    <tableColumn id="9" xr3:uid="{00000000-0010-0000-0000-000009000000}" name="Resultado"/>
    <tableColumn id="10" xr3:uid="{00000000-0010-0000-0000-00000A000000}" name="Valor obtenido"/>
    <tableColumn id="11" xr3:uid="{00000000-0010-0000-0000-00000B000000}" name="Fecha de revisión"/>
    <tableColumn id="12" xr3:uid="{00000000-0010-0000-0000-00000C000000}" name="Evidencia real"/>
    <tableColumn id="13" xr3:uid="{00000000-0010-0000-0000-00000D000000}" name="Observación"/>
    <tableColumn id="14" xr3:uid="{00000000-0010-0000-0000-00000E000000}" name="Acción correctiva"/>
    <tableColumn id="15" xr3:uid="{00000000-0010-0000-0000-00000F000000}" name="Responsable de corrección"/>
    <tableColumn id="16" xr3:uid="{00000000-0010-0000-0000-000010000000}" name="Fecha compromiso"/>
    <tableColumn id="17" xr3:uid="{00000000-0010-0000-0000-000011000000}" name="Estado de corre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A1:L40"/>
  <sheetViews>
    <sheetView showGridLines="0" workbookViewId="0">
      <pane ySplit="3" topLeftCell="A4" activePane="bottomLeft" state="frozen"/>
      <selection pane="bottomLeft"/>
    </sheetView>
  </sheetViews>
  <sheetFormatPr baseColWidth="10" defaultColWidth="8.796875" defaultRowHeight="13.8"/>
  <cols>
    <col min="1" max="1" width="29" customWidth="1"/>
    <col min="2" max="2" width="32" customWidth="1"/>
    <col min="3" max="4" width="40" customWidth="1"/>
    <col min="5" max="9" width="13" customWidth="1"/>
    <col min="10" max="10" width="18" customWidth="1"/>
    <col min="11" max="12" width="3" customWidth="1"/>
  </cols>
  <sheetData>
    <row r="1" spans="1:12" ht="24" customHeight="1">
      <c r="A1" s="1"/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4" customHeight="1">
      <c r="A2" s="12"/>
      <c r="B2" s="52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24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>
      <c r="A5" s="2" t="s">
        <v>2</v>
      </c>
      <c r="B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</row>
    <row r="6" spans="1:12">
      <c r="A6" s="26" t="s">
        <v>11</v>
      </c>
      <c r="B6" s="26">
        <f>'Matriz de calidad'!A8</f>
        <v>64</v>
      </c>
      <c r="D6" s="26" t="s">
        <v>12</v>
      </c>
      <c r="E6" s="26">
        <f>COUNTIF('Matriz de calidad'!A13:A76,D6)</f>
        <v>12</v>
      </c>
      <c r="F6" s="26">
        <f>COUNTIFS('Matriz de calidad'!A13:A76,D6,'Matriz de calidad'!I13:I76,"Cumple")+COUNTIFS('Matriz de calidad'!A13:A76,D6,'Matriz de calidad'!I13:I76,"Cumple parcialmente")+COUNTIFS('Matriz de calidad'!A13:A76,D6,'Matriz de calidad'!I13:I76,"No cumple")+COUNTIFS('Matriz de calidad'!A13:A76,D6,'Matriz de calidad'!I13:I76,"No aplica")</f>
        <v>2</v>
      </c>
      <c r="G6" s="26">
        <f>COUNTIFS('Matriz de calidad'!A13:A76,D6,'Matriz de calidad'!I13:I76,"Cumple")</f>
        <v>2</v>
      </c>
      <c r="H6" s="26">
        <f>COUNTIFS('Matriz de calidad'!A13:A76,D6,'Matriz de calidad'!I13:I76,"Cumple parcialmente")</f>
        <v>0</v>
      </c>
      <c r="I6" s="26">
        <f>COUNTIFS('Matriz de calidad'!A13:A76,D6,'Matriz de calidad'!I13:I76,"No cumple")</f>
        <v>0</v>
      </c>
      <c r="J6" s="31">
        <f>IFERROR(SUMIF('Matriz de calidad'!A13:A76,D6,'Matriz de calidad'!J13:J76)/(COUNTIFS('Matriz de calidad'!A13:A76,D6,'Matriz de calidad'!J13:J76,"&gt;=0")*2),0)</f>
        <v>1</v>
      </c>
    </row>
    <row r="7" spans="1:12">
      <c r="A7" s="27" t="s">
        <v>13</v>
      </c>
      <c r="B7" s="27">
        <f>'Matriz de calidad'!D8</f>
        <v>2</v>
      </c>
      <c r="D7" s="27" t="s">
        <v>14</v>
      </c>
      <c r="E7" s="27">
        <f>COUNTIF('Matriz de calidad'!A13:A76,D7)</f>
        <v>9</v>
      </c>
      <c r="F7" s="27">
        <f>COUNTIFS('Matriz de calidad'!A13:A76,D7,'Matriz de calidad'!I13:I76,"Cumple")+COUNTIFS('Matriz de calidad'!A13:A76,D7,'Matriz de calidad'!I13:I76,"Cumple parcialmente")+COUNTIFS('Matriz de calidad'!A13:A76,D7,'Matriz de calidad'!I13:I76,"No cumple")+COUNTIFS('Matriz de calidad'!A13:A76,D7,'Matriz de calidad'!I13:I76,"No aplica")</f>
        <v>0</v>
      </c>
      <c r="G7" s="27">
        <f>COUNTIFS('Matriz de calidad'!A13:A76,D7,'Matriz de calidad'!I13:I76,"Cumple")</f>
        <v>0</v>
      </c>
      <c r="H7" s="27">
        <f>COUNTIFS('Matriz de calidad'!A13:A76,D7,'Matriz de calidad'!I13:I76,"Cumple parcialmente")</f>
        <v>0</v>
      </c>
      <c r="I7" s="27">
        <f>COUNTIFS('Matriz de calidad'!A13:A76,D7,'Matriz de calidad'!I13:I76,"No cumple")</f>
        <v>0</v>
      </c>
      <c r="J7" s="29">
        <f>IFERROR(SUMIF('Matriz de calidad'!A13:A76,D7,'Matriz de calidad'!J13:J76)/(COUNTIFS('Matriz de calidad'!A13:A76,D7,'Matriz de calidad'!J13:J76,"&gt;=0")*2),0)</f>
        <v>0</v>
      </c>
    </row>
    <row r="8" spans="1:12">
      <c r="A8" s="27" t="s">
        <v>15</v>
      </c>
      <c r="B8" s="29">
        <f>'Matriz de calidad'!G8</f>
        <v>3.125E-2</v>
      </c>
      <c r="D8" s="27" t="s">
        <v>16</v>
      </c>
      <c r="E8" s="27">
        <f>COUNTIF('Matriz de calidad'!A13:A76,D8)</f>
        <v>11</v>
      </c>
      <c r="F8" s="27">
        <f>COUNTIFS('Matriz de calidad'!A13:A76,D8,'Matriz de calidad'!I13:I76,"Cumple")+COUNTIFS('Matriz de calidad'!A13:A76,D8,'Matriz de calidad'!I13:I76,"Cumple parcialmente")+COUNTIFS('Matriz de calidad'!A13:A76,D8,'Matriz de calidad'!I13:I76,"No cumple")+COUNTIFS('Matriz de calidad'!A13:A76,D8,'Matriz de calidad'!I13:I76,"No aplica")</f>
        <v>0</v>
      </c>
      <c r="G8" s="27">
        <f>COUNTIFS('Matriz de calidad'!A13:A76,D8,'Matriz de calidad'!I13:I76,"Cumple")</f>
        <v>0</v>
      </c>
      <c r="H8" s="27">
        <f>COUNTIFS('Matriz de calidad'!A13:A76,D8,'Matriz de calidad'!I13:I76,"Cumple parcialmente")</f>
        <v>0</v>
      </c>
      <c r="I8" s="27">
        <f>COUNTIFS('Matriz de calidad'!A13:A76,D8,'Matriz de calidad'!I13:I76,"No cumple")</f>
        <v>0</v>
      </c>
      <c r="J8" s="29">
        <f>IFERROR(SUMIF('Matriz de calidad'!A13:A76,D8,'Matriz de calidad'!J13:J76)/(COUNTIFS('Matriz de calidad'!A13:A76,D8,'Matriz de calidad'!J13:J76,"&gt;=0")*2),0)</f>
        <v>0</v>
      </c>
    </row>
    <row r="9" spans="1:12">
      <c r="A9" s="27" t="s">
        <v>17</v>
      </c>
      <c r="B9" s="29">
        <f>'Matriz de calidad'!J8</f>
        <v>1</v>
      </c>
      <c r="D9" s="27" t="s">
        <v>18</v>
      </c>
      <c r="E9" s="27">
        <f>COUNTIF('Matriz de calidad'!A13:A76,D9)</f>
        <v>10</v>
      </c>
      <c r="F9" s="27">
        <f>COUNTIFS('Matriz de calidad'!A13:A76,D9,'Matriz de calidad'!I13:I76,"Cumple")+COUNTIFS('Matriz de calidad'!A13:A76,D9,'Matriz de calidad'!I13:I76,"Cumple parcialmente")+COUNTIFS('Matriz de calidad'!A13:A76,D9,'Matriz de calidad'!I13:I76,"No cumple")+COUNTIFS('Matriz de calidad'!A13:A76,D9,'Matriz de calidad'!I13:I76,"No aplica")</f>
        <v>0</v>
      </c>
      <c r="G9" s="27">
        <f>COUNTIFS('Matriz de calidad'!A13:A76,D9,'Matriz de calidad'!I13:I76,"Cumple")</f>
        <v>0</v>
      </c>
      <c r="H9" s="27">
        <f>COUNTIFS('Matriz de calidad'!A13:A76,D9,'Matriz de calidad'!I13:I76,"Cumple parcialmente")</f>
        <v>0</v>
      </c>
      <c r="I9" s="27">
        <f>COUNTIFS('Matriz de calidad'!A13:A76,D9,'Matriz de calidad'!I13:I76,"No cumple")</f>
        <v>0</v>
      </c>
      <c r="J9" s="29">
        <f>IFERROR(SUMIF('Matriz de calidad'!A13:A76,D9,'Matriz de calidad'!J13:J76)/(COUNTIFS('Matriz de calidad'!A13:A76,D9,'Matriz de calidad'!J13:J76,"&gt;=0")*2),0)</f>
        <v>0</v>
      </c>
    </row>
    <row r="10" spans="1:12">
      <c r="A10" s="27" t="s">
        <v>19</v>
      </c>
      <c r="B10" s="29">
        <f>'Matriz de calidad'!M8</f>
        <v>1</v>
      </c>
      <c r="D10" s="27" t="s">
        <v>20</v>
      </c>
      <c r="E10" s="27">
        <f>COUNTIF('Matriz de calidad'!A13:A76,D10)</f>
        <v>2</v>
      </c>
      <c r="F10" s="27">
        <f>COUNTIFS('Matriz de calidad'!A13:A76,D10,'Matriz de calidad'!I13:I76,"Cumple")+COUNTIFS('Matriz de calidad'!A13:A76,D10,'Matriz de calidad'!I13:I76,"Cumple parcialmente")+COUNTIFS('Matriz de calidad'!A13:A76,D10,'Matriz de calidad'!I13:I76,"No cumple")+COUNTIFS('Matriz de calidad'!A13:A76,D10,'Matriz de calidad'!I13:I76,"No aplica")</f>
        <v>0</v>
      </c>
      <c r="G10" s="27">
        <f>COUNTIFS('Matriz de calidad'!A13:A76,D10,'Matriz de calidad'!I13:I76,"Cumple")</f>
        <v>0</v>
      </c>
      <c r="H10" s="27">
        <f>COUNTIFS('Matriz de calidad'!A13:A76,D10,'Matriz de calidad'!I13:I76,"Cumple parcialmente")</f>
        <v>0</v>
      </c>
      <c r="I10" s="27">
        <f>COUNTIFS('Matriz de calidad'!A13:A76,D10,'Matriz de calidad'!I13:I76,"No cumple")</f>
        <v>0</v>
      </c>
      <c r="J10" s="29">
        <f>IFERROR(SUMIF('Matriz de calidad'!A13:A76,D10,'Matriz de calidad'!J13:J76)/(COUNTIFS('Matriz de calidad'!A13:A76,D10,'Matriz de calidad'!J13:J76,"&gt;=0")*2),0)</f>
        <v>0</v>
      </c>
    </row>
    <row r="11" spans="1:12">
      <c r="A11" s="27" t="s">
        <v>21</v>
      </c>
      <c r="B11" s="27">
        <f>COUNTIFS('Matriz de calidad'!G13:G76,"Highest",'Matriz de calidad'!I13:I76,"No cumple")</f>
        <v>0</v>
      </c>
      <c r="D11" s="27" t="s">
        <v>22</v>
      </c>
      <c r="E11" s="27">
        <f>COUNTIF('Matriz de calidad'!A13:A76,D11)</f>
        <v>2</v>
      </c>
      <c r="F11" s="27">
        <f>COUNTIFS('Matriz de calidad'!A13:A76,D11,'Matriz de calidad'!I13:I76,"Cumple")+COUNTIFS('Matriz de calidad'!A13:A76,D11,'Matriz de calidad'!I13:I76,"Cumple parcialmente")+COUNTIFS('Matriz de calidad'!A13:A76,D11,'Matriz de calidad'!I13:I76,"No cumple")+COUNTIFS('Matriz de calidad'!A13:A76,D11,'Matriz de calidad'!I13:I76,"No aplica")</f>
        <v>0</v>
      </c>
      <c r="G11" s="27">
        <f>COUNTIFS('Matriz de calidad'!A13:A76,D11,'Matriz de calidad'!I13:I76,"Cumple")</f>
        <v>0</v>
      </c>
      <c r="H11" s="27">
        <f>COUNTIFS('Matriz de calidad'!A13:A76,D11,'Matriz de calidad'!I13:I76,"Cumple parcialmente")</f>
        <v>0</v>
      </c>
      <c r="I11" s="27">
        <f>COUNTIFS('Matriz de calidad'!A13:A76,D11,'Matriz de calidad'!I13:I76,"No cumple")</f>
        <v>0</v>
      </c>
      <c r="J11" s="29">
        <f>IFERROR(SUMIF('Matriz de calidad'!A13:A76,D11,'Matriz de calidad'!J13:J76)/(COUNTIFS('Matriz de calidad'!A13:A76,D11,'Matriz de calidad'!J13:J76,"&gt;=0")*2),0)</f>
        <v>0</v>
      </c>
    </row>
    <row r="12" spans="1:12">
      <c r="A12" s="28" t="s">
        <v>23</v>
      </c>
      <c r="B12" s="30" t="str">
        <f>'Matriz de calidad'!P8</f>
        <v>PENDIENTE DE EVALUACIÓN</v>
      </c>
      <c r="D12" s="27" t="s">
        <v>24</v>
      </c>
      <c r="E12" s="27">
        <f>COUNTIF('Matriz de calidad'!A13:A76,D12)</f>
        <v>2</v>
      </c>
      <c r="F12" s="27">
        <f>COUNTIFS('Matriz de calidad'!A13:A76,D12,'Matriz de calidad'!I13:I76,"Cumple")+COUNTIFS('Matriz de calidad'!A13:A76,D12,'Matriz de calidad'!I13:I76,"Cumple parcialmente")+COUNTIFS('Matriz de calidad'!A13:A76,D12,'Matriz de calidad'!I13:I76,"No cumple")+COUNTIFS('Matriz de calidad'!A13:A76,D12,'Matriz de calidad'!I13:I76,"No aplica")</f>
        <v>0</v>
      </c>
      <c r="G12" s="27">
        <f>COUNTIFS('Matriz de calidad'!A13:A76,D12,'Matriz de calidad'!I13:I76,"Cumple")</f>
        <v>0</v>
      </c>
      <c r="H12" s="27">
        <f>COUNTIFS('Matriz de calidad'!A13:A76,D12,'Matriz de calidad'!I13:I76,"Cumple parcialmente")</f>
        <v>0</v>
      </c>
      <c r="I12" s="27">
        <f>COUNTIFS('Matriz de calidad'!A13:A76,D12,'Matriz de calidad'!I13:I76,"No cumple")</f>
        <v>0</v>
      </c>
      <c r="J12" s="29">
        <f>IFERROR(SUMIF('Matriz de calidad'!A13:A76,D12,'Matriz de calidad'!J13:J76)/(COUNTIFS('Matriz de calidad'!A13:A76,D12,'Matriz de calidad'!J13:J76,"&gt;=0")*2),0)</f>
        <v>0</v>
      </c>
    </row>
    <row r="13" spans="1:12">
      <c r="D13" s="27" t="s">
        <v>25</v>
      </c>
      <c r="E13" s="27">
        <f>COUNTIF('Matriz de calidad'!A13:A76,D13)</f>
        <v>7</v>
      </c>
      <c r="F13" s="27">
        <f>COUNTIFS('Matriz de calidad'!A13:A76,D13,'Matriz de calidad'!I13:I76,"Cumple")+COUNTIFS('Matriz de calidad'!A13:A76,D13,'Matriz de calidad'!I13:I76,"Cumple parcialmente")+COUNTIFS('Matriz de calidad'!A13:A76,D13,'Matriz de calidad'!I13:I76,"No cumple")+COUNTIFS('Matriz de calidad'!A13:A76,D13,'Matriz de calidad'!I13:I76,"No aplica")</f>
        <v>0</v>
      </c>
      <c r="G13" s="27">
        <f>COUNTIFS('Matriz de calidad'!A13:A76,D13,'Matriz de calidad'!I13:I76,"Cumple")</f>
        <v>0</v>
      </c>
      <c r="H13" s="27">
        <f>COUNTIFS('Matriz de calidad'!A13:A76,D13,'Matriz de calidad'!I13:I76,"Cumple parcialmente")</f>
        <v>0</v>
      </c>
      <c r="I13" s="27">
        <f>COUNTIFS('Matriz de calidad'!A13:A76,D13,'Matriz de calidad'!I13:I76,"No cumple")</f>
        <v>0</v>
      </c>
      <c r="J13" s="29">
        <f>IFERROR(SUMIF('Matriz de calidad'!A13:A76,D13,'Matriz de calidad'!J13:J76)/(COUNTIFS('Matriz de calidad'!A13:A76,D13,'Matriz de calidad'!J13:J76,"&gt;=0")*2),0)</f>
        <v>0</v>
      </c>
    </row>
    <row r="14" spans="1:12">
      <c r="D14" s="28" t="s">
        <v>26</v>
      </c>
      <c r="E14" s="28">
        <f>COUNTIF('Matriz de calidad'!A13:A76,D14)</f>
        <v>9</v>
      </c>
      <c r="F14" s="28">
        <f>COUNTIFS('Matriz de calidad'!A13:A76,D14,'Matriz de calidad'!I13:I76,"Cumple")+COUNTIFS('Matriz de calidad'!A13:A76,D14,'Matriz de calidad'!I13:I76,"Cumple parcialmente")+COUNTIFS('Matriz de calidad'!A13:A76,D14,'Matriz de calidad'!I13:I76,"No cumple")+COUNTIFS('Matriz de calidad'!A13:A76,D14,'Matriz de calidad'!I13:I76,"No aplica")</f>
        <v>0</v>
      </c>
      <c r="G14" s="28">
        <f>COUNTIFS('Matriz de calidad'!A13:A76,D14,'Matriz de calidad'!I13:I76,"Cumple")</f>
        <v>0</v>
      </c>
      <c r="H14" s="28">
        <f>COUNTIFS('Matriz de calidad'!A13:A76,D14,'Matriz de calidad'!I13:I76,"Cumple parcialmente")</f>
        <v>0</v>
      </c>
      <c r="I14" s="28">
        <f>COUNTIFS('Matriz de calidad'!A13:A76,D14,'Matriz de calidad'!I13:I76,"No cumple")</f>
        <v>0</v>
      </c>
      <c r="J14" s="32">
        <f>IFERROR(SUMIF('Matriz de calidad'!A13:A76,D14,'Matriz de calidad'!J13:J76)/(COUNTIFS('Matriz de calidad'!A13:A76,D14,'Matriz de calidad'!J13:J76,"&gt;=0")*2),0)</f>
        <v>0</v>
      </c>
    </row>
    <row r="16" spans="1:12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</row>
    <row r="17" spans="1:5">
      <c r="A17" s="33" t="s">
        <v>32</v>
      </c>
      <c r="B17" s="36">
        <v>46271</v>
      </c>
      <c r="C17" s="33" t="s">
        <v>33</v>
      </c>
      <c r="D17" s="33" t="s">
        <v>34</v>
      </c>
      <c r="E17" s="33" t="s">
        <v>35</v>
      </c>
    </row>
    <row r="18" spans="1:5">
      <c r="A18" s="34" t="s">
        <v>36</v>
      </c>
      <c r="B18" s="37">
        <v>46272</v>
      </c>
      <c r="C18" s="34" t="s">
        <v>37</v>
      </c>
      <c r="D18" s="34" t="s">
        <v>38</v>
      </c>
      <c r="E18" s="34" t="s">
        <v>35</v>
      </c>
    </row>
    <row r="19" spans="1:5">
      <c r="A19" s="34" t="s">
        <v>39</v>
      </c>
      <c r="B19" s="37">
        <v>46273</v>
      </c>
      <c r="C19" s="34" t="s">
        <v>40</v>
      </c>
      <c r="D19" s="34" t="s">
        <v>41</v>
      </c>
      <c r="E19" s="34" t="s">
        <v>35</v>
      </c>
    </row>
    <row r="20" spans="1:5">
      <c r="A20" s="34" t="s">
        <v>42</v>
      </c>
      <c r="B20" s="37">
        <v>46274</v>
      </c>
      <c r="C20" s="34" t="s">
        <v>43</v>
      </c>
      <c r="D20" s="34" t="s">
        <v>44</v>
      </c>
      <c r="E20" s="34" t="s">
        <v>35</v>
      </c>
    </row>
    <row r="21" spans="1:5">
      <c r="A21" s="34" t="s">
        <v>45</v>
      </c>
      <c r="B21" s="37">
        <v>46275</v>
      </c>
      <c r="C21" s="34" t="s">
        <v>46</v>
      </c>
      <c r="D21" s="34" t="s">
        <v>47</v>
      </c>
      <c r="E21" s="34" t="s">
        <v>35</v>
      </c>
    </row>
    <row r="22" spans="1:5">
      <c r="A22" s="34" t="s">
        <v>48</v>
      </c>
      <c r="B22" s="37">
        <v>46276</v>
      </c>
      <c r="C22" s="34" t="s">
        <v>49</v>
      </c>
      <c r="D22" s="34" t="s">
        <v>34</v>
      </c>
      <c r="E22" s="34" t="s">
        <v>35</v>
      </c>
    </row>
    <row r="23" spans="1:5">
      <c r="A23" s="34" t="s">
        <v>50</v>
      </c>
      <c r="B23" s="37">
        <v>46277</v>
      </c>
      <c r="C23" s="34" t="s">
        <v>51</v>
      </c>
      <c r="D23" s="34" t="s">
        <v>52</v>
      </c>
      <c r="E23" s="34" t="s">
        <v>35</v>
      </c>
    </row>
    <row r="24" spans="1:5">
      <c r="A24" s="34" t="s">
        <v>53</v>
      </c>
      <c r="B24" s="37">
        <v>46278</v>
      </c>
      <c r="C24" s="34" t="s">
        <v>54</v>
      </c>
      <c r="D24" s="34" t="s">
        <v>55</v>
      </c>
      <c r="E24" s="34" t="s">
        <v>35</v>
      </c>
    </row>
    <row r="25" spans="1:5">
      <c r="A25" s="35" t="s">
        <v>56</v>
      </c>
      <c r="B25" s="38">
        <v>46279</v>
      </c>
      <c r="C25" s="35" t="s">
        <v>57</v>
      </c>
      <c r="D25" s="35" t="s">
        <v>58</v>
      </c>
      <c r="E25" s="35" t="s">
        <v>59</v>
      </c>
    </row>
    <row r="26" spans="1:5" ht="34.049999999999997" customHeight="1">
      <c r="A26" s="42" t="s">
        <v>380</v>
      </c>
      <c r="B26" s="42" t="s">
        <v>381</v>
      </c>
      <c r="C26" s="42" t="s">
        <v>382</v>
      </c>
      <c r="D26" s="42" t="s">
        <v>58</v>
      </c>
      <c r="E26" s="42" t="s">
        <v>59</v>
      </c>
    </row>
    <row r="27" spans="1:5">
      <c r="A27" s="2" t="s">
        <v>60</v>
      </c>
      <c r="B27" s="2" t="s">
        <v>61</v>
      </c>
    </row>
    <row r="28" spans="1:5">
      <c r="A28" s="33" t="s">
        <v>62</v>
      </c>
      <c r="B28" s="33" t="s">
        <v>63</v>
      </c>
    </row>
    <row r="29" spans="1:5">
      <c r="A29" s="34" t="s">
        <v>64</v>
      </c>
      <c r="B29" s="34" t="s">
        <v>65</v>
      </c>
    </row>
    <row r="30" spans="1:5">
      <c r="A30" s="34" t="s">
        <v>66</v>
      </c>
      <c r="B30" s="34" t="s">
        <v>67</v>
      </c>
    </row>
    <row r="31" spans="1:5">
      <c r="A31" s="34" t="s">
        <v>68</v>
      </c>
      <c r="B31" s="34" t="s">
        <v>380</v>
      </c>
    </row>
    <row r="32" spans="1:5">
      <c r="A32" s="34" t="s">
        <v>31</v>
      </c>
      <c r="B32" s="34" t="s">
        <v>69</v>
      </c>
    </row>
    <row r="33" spans="1:2">
      <c r="A33" s="34" t="s">
        <v>70</v>
      </c>
      <c r="B33" s="37">
        <v>46271</v>
      </c>
    </row>
    <row r="34" spans="1:2">
      <c r="A34" s="34" t="s">
        <v>71</v>
      </c>
      <c r="B34" s="37">
        <v>46284</v>
      </c>
    </row>
    <row r="35" spans="1:2">
      <c r="A35" s="34" t="s">
        <v>72</v>
      </c>
      <c r="B35" s="34" t="s">
        <v>73</v>
      </c>
    </row>
    <row r="36" spans="1:2">
      <c r="A36" s="34" t="s">
        <v>74</v>
      </c>
      <c r="B36" s="34" t="s">
        <v>75</v>
      </c>
    </row>
    <row r="37" spans="1:2">
      <c r="A37" s="34" t="s">
        <v>76</v>
      </c>
      <c r="B37" s="34" t="s">
        <v>34</v>
      </c>
    </row>
    <row r="38" spans="1:2">
      <c r="A38" s="34" t="s">
        <v>77</v>
      </c>
      <c r="B38" s="34" t="s">
        <v>78</v>
      </c>
    </row>
    <row r="39" spans="1:2">
      <c r="A39" s="34" t="s">
        <v>79</v>
      </c>
      <c r="B39" s="34" t="s">
        <v>38</v>
      </c>
    </row>
    <row r="40" spans="1:2">
      <c r="A40" s="35" t="s">
        <v>80</v>
      </c>
      <c r="B40" s="35" t="s">
        <v>81</v>
      </c>
    </row>
  </sheetData>
  <mergeCells count="2">
    <mergeCell ref="B1:L1"/>
    <mergeCell ref="B2:L2"/>
  </mergeCells>
  <conditionalFormatting sqref="B12">
    <cfRule type="containsText" dxfId="16" priority="1" operator="containsText" text="APROBADO"/>
    <cfRule type="containsText" dxfId="15" priority="2" operator="containsText" text="NO APROBADO"/>
    <cfRule type="containsText" dxfId="14" priority="3" operator="containsText" text="REQUIERE MEJORAS"/>
    <cfRule type="containsText" dxfId="13" priority="4" operator="containsText" text="PENDIENTE"/>
  </conditionalFormatting>
  <conditionalFormatting sqref="J6:J14">
    <cfRule type="dataBar" priority="5">
      <dataBar>
        <cfvo type="min"/>
        <cfvo type="max"/>
        <color rgb="FFC92351"/>
      </dataBar>
    </cfRule>
    <cfRule type="dataBar" priority="6">
      <dataBar>
        <cfvo type="min"/>
        <cfvo type="max"/>
        <color rgb="FFC92351"/>
      </dataBar>
    </cfRule>
    <cfRule type="dataBar" priority="7">
      <dataBar>
        <cfvo type="min"/>
        <cfvo type="max"/>
        <color rgb="FFC92351"/>
      </dataBar>
      <extLst>
        <ext xmlns:x14="http://schemas.microsoft.com/office/spreadsheetml/2009/9/main" uri="{B025F937-C7B1-47D3-B67F-A62EFF666E3E}">
          <x14:id>{2CF8075F-86B4-89D8-8DF8-06BBF5DD8D68}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8075F-86B4-89D8-8DF8-06BBF5DD8D68}">
            <x14:dataBar>
              <x14:cfvo type="min"/>
              <x14:cfvo type="max"/>
              <x14:negativeFillColor auto="1"/>
              <x14:axisColor auto="1"/>
            </x14:dataBar>
          </x14:cfRule>
          <xm:sqref>J6:J14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1:Q76"/>
  <sheetViews>
    <sheetView showGridLines="0" tabSelected="1" workbookViewId="0">
      <pane xSplit="2" ySplit="12" topLeftCell="C75" activePane="bottomRight" state="frozen"/>
      <selection pane="topRight"/>
      <selection pane="bottomLeft"/>
      <selection pane="bottomRight" activeCell="C79" sqref="C79"/>
    </sheetView>
  </sheetViews>
  <sheetFormatPr baseColWidth="10" defaultColWidth="8.796875" defaultRowHeight="13.8"/>
  <cols>
    <col min="1" max="1" width="18" customWidth="1"/>
    <col min="2" max="2" width="25" customWidth="1"/>
    <col min="3" max="3" width="36" customWidth="1"/>
    <col min="4" max="4" width="40" customWidth="1"/>
    <col min="5" max="5" width="34" customWidth="1"/>
    <col min="6" max="6" width="24" customWidth="1"/>
    <col min="7" max="7" width="12" customWidth="1"/>
    <col min="8" max="8" width="18" customWidth="1"/>
    <col min="9" max="9" width="21" customWidth="1"/>
    <col min="10" max="10" width="12" customWidth="1"/>
    <col min="11" max="11" width="14" customWidth="1"/>
    <col min="12" max="13" width="27" customWidth="1"/>
    <col min="14" max="14" width="30" customWidth="1"/>
    <col min="15" max="15" width="24" customWidth="1"/>
    <col min="16" max="16" width="14" customWidth="1"/>
    <col min="17" max="17" width="19" customWidth="1"/>
  </cols>
  <sheetData>
    <row r="1" spans="1:17" ht="25.05" customHeight="1">
      <c r="A1" s="12"/>
      <c r="B1" s="12"/>
      <c r="C1" s="69" t="s">
        <v>0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25.05" customHeight="1">
      <c r="A2" s="12"/>
      <c r="B2" s="12"/>
      <c r="C2" s="52" t="s">
        <v>65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22.05" customHeight="1">
      <c r="A3" s="70" t="s">
        <v>82</v>
      </c>
      <c r="B3" s="71"/>
      <c r="C3" s="71"/>
      <c r="D3" s="71"/>
      <c r="E3" s="71" t="s">
        <v>383</v>
      </c>
      <c r="F3" s="71"/>
      <c r="G3" s="71"/>
      <c r="H3" s="71"/>
      <c r="I3" s="71" t="s">
        <v>83</v>
      </c>
      <c r="J3" s="71"/>
      <c r="K3" s="71"/>
      <c r="L3" s="71" t="s">
        <v>384</v>
      </c>
      <c r="M3" s="71"/>
      <c r="N3" s="71"/>
      <c r="O3" s="71"/>
      <c r="P3" s="71"/>
      <c r="Q3" s="72"/>
    </row>
    <row r="4" spans="1:17" ht="22.05" customHeight="1">
      <c r="A4" s="65" t="s">
        <v>84</v>
      </c>
      <c r="B4" s="66"/>
      <c r="C4" s="66"/>
      <c r="D4" s="66"/>
      <c r="E4" s="66" t="s">
        <v>85</v>
      </c>
      <c r="F4" s="66"/>
      <c r="G4" s="66"/>
      <c r="H4" s="66"/>
      <c r="I4" s="66" t="s">
        <v>86</v>
      </c>
      <c r="J4" s="66"/>
      <c r="K4" s="66"/>
      <c r="L4" s="66"/>
      <c r="M4" s="66" t="s">
        <v>87</v>
      </c>
      <c r="N4" s="66"/>
      <c r="O4" s="66"/>
      <c r="P4" s="66"/>
      <c r="Q4" s="67"/>
    </row>
    <row r="5" spans="1:17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24" customHeight="1">
      <c r="A6" s="68" t="s">
        <v>88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</row>
    <row r="7" spans="1:17" ht="24" customHeight="1">
      <c r="A7" s="56" t="s">
        <v>11</v>
      </c>
      <c r="B7" s="56"/>
      <c r="C7" s="14"/>
      <c r="D7" s="56" t="s">
        <v>13</v>
      </c>
      <c r="E7" s="56"/>
      <c r="F7" s="14"/>
      <c r="G7" s="56" t="s">
        <v>15</v>
      </c>
      <c r="H7" s="56"/>
      <c r="I7" s="14"/>
      <c r="J7" s="56" t="s">
        <v>10</v>
      </c>
      <c r="K7" s="56"/>
      <c r="L7" s="14"/>
      <c r="M7" s="56" t="s">
        <v>89</v>
      </c>
      <c r="N7" s="56"/>
      <c r="O7" s="14"/>
      <c r="P7" s="56" t="s">
        <v>23</v>
      </c>
      <c r="Q7" s="56"/>
    </row>
    <row r="8" spans="1:17" ht="24" customHeight="1">
      <c r="A8" s="57">
        <f>COUNTA(A13:A76)</f>
        <v>64</v>
      </c>
      <c r="B8" s="58"/>
      <c r="C8" s="15"/>
      <c r="D8" s="58">
        <f>COUNTIF(I13:I76,"Cumple")+COUNTIF(I13:I76,"Cumple parcialmente")+COUNTIF(I13:I76,"No cumple")+COUNTIF(I13:I76,"No aplica")</f>
        <v>2</v>
      </c>
      <c r="E8" s="58"/>
      <c r="F8" s="15"/>
      <c r="G8" s="61">
        <f>IFERROR(D8/A8,0)</f>
        <v>3.125E-2</v>
      </c>
      <c r="H8" s="61"/>
      <c r="I8" s="15"/>
      <c r="J8" s="61">
        <f>IFERROR(SUM(J13:J76)/(COUNT(J13:J76)*2),0)</f>
        <v>1</v>
      </c>
      <c r="K8" s="61"/>
      <c r="L8" s="15"/>
      <c r="M8" s="61">
        <f>IFERROR(COUNTIF(I13:I76,"Cumple")/COUNT(J13:J76),0)</f>
        <v>1</v>
      </c>
      <c r="N8" s="61"/>
      <c r="O8" s="15"/>
      <c r="P8" s="58" t="str">
        <f>IF(G8&lt;1,"PENDIENTE DE EVALUACIÓN",IF(COUNTIFS(G13:G76,"Highest",I13:I76,"No cumple")&gt;0,"NO APROBADO",IF(J8&gt;=0.9,"APROBADO","REQUIERE MEJORAS")))</f>
        <v>PENDIENTE DE EVALUACIÓN</v>
      </c>
      <c r="Q8" s="63"/>
    </row>
    <row r="9" spans="1:17" ht="24" customHeight="1">
      <c r="A9" s="59"/>
      <c r="B9" s="60"/>
      <c r="C9" s="16"/>
      <c r="D9" s="60"/>
      <c r="E9" s="60"/>
      <c r="F9" s="16"/>
      <c r="G9" s="62"/>
      <c r="H9" s="62"/>
      <c r="I9" s="16"/>
      <c r="J9" s="62"/>
      <c r="K9" s="62"/>
      <c r="L9" s="16"/>
      <c r="M9" s="62"/>
      <c r="N9" s="62"/>
      <c r="O9" s="16"/>
      <c r="P9" s="60"/>
      <c r="Q9" s="64"/>
    </row>
    <row r="10" spans="1:17" ht="24" customHeight="1">
      <c r="A10" s="54" t="s">
        <v>90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</row>
    <row r="12" spans="1:17" ht="42" customHeight="1">
      <c r="A12" s="17" t="s">
        <v>4</v>
      </c>
      <c r="B12" s="18" t="s">
        <v>91</v>
      </c>
      <c r="C12" s="18" t="s">
        <v>92</v>
      </c>
      <c r="D12" s="18" t="s">
        <v>93</v>
      </c>
      <c r="E12" s="18" t="s">
        <v>94</v>
      </c>
      <c r="F12" s="18" t="s">
        <v>95</v>
      </c>
      <c r="G12" s="18" t="s">
        <v>96</v>
      </c>
      <c r="H12" s="18" t="s">
        <v>97</v>
      </c>
      <c r="I12" s="18" t="s">
        <v>3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103</v>
      </c>
      <c r="P12" s="18" t="s">
        <v>104</v>
      </c>
      <c r="Q12" s="19" t="s">
        <v>105</v>
      </c>
    </row>
    <row r="13" spans="1:17" ht="58.05" customHeight="1">
      <c r="A13" s="20" t="s">
        <v>12</v>
      </c>
      <c r="B13" s="20" t="s">
        <v>106</v>
      </c>
      <c r="C13" s="20" t="s">
        <v>107</v>
      </c>
      <c r="D13" s="20" t="s">
        <v>108</v>
      </c>
      <c r="E13" s="20" t="s">
        <v>109</v>
      </c>
      <c r="F13" s="20" t="s">
        <v>38</v>
      </c>
      <c r="G13" s="20" t="s">
        <v>110</v>
      </c>
      <c r="H13" s="20" t="s">
        <v>111</v>
      </c>
      <c r="I13" s="20" t="s">
        <v>7</v>
      </c>
      <c r="J13" s="20">
        <f t="shared" ref="J13:J44" si="0">IF(I13="Cumple",2,IF(I13="Cumple parcialmente",1,IF(I13="No cumple",0,"")))</f>
        <v>2</v>
      </c>
      <c r="K13" s="23"/>
      <c r="L13" s="20"/>
      <c r="M13" s="20"/>
      <c r="N13" s="20"/>
      <c r="O13" s="20"/>
      <c r="P13" s="23"/>
      <c r="Q13" s="20"/>
    </row>
    <row r="14" spans="1:17" ht="58.05" customHeight="1">
      <c r="A14" s="21" t="s">
        <v>12</v>
      </c>
      <c r="B14" s="21" t="s">
        <v>112</v>
      </c>
      <c r="C14" s="21" t="s">
        <v>113</v>
      </c>
      <c r="D14" s="21" t="s">
        <v>114</v>
      </c>
      <c r="E14" s="21" t="s">
        <v>115</v>
      </c>
      <c r="F14" s="21" t="s">
        <v>116</v>
      </c>
      <c r="G14" s="21" t="s">
        <v>110</v>
      </c>
      <c r="H14" s="21" t="s">
        <v>111</v>
      </c>
      <c r="I14" s="21"/>
      <c r="J14" s="21" t="str">
        <f t="shared" si="0"/>
        <v/>
      </c>
      <c r="K14" s="24"/>
      <c r="L14" s="21"/>
      <c r="M14" s="21"/>
      <c r="N14" s="21"/>
      <c r="O14" s="21"/>
      <c r="P14" s="24"/>
      <c r="Q14" s="21"/>
    </row>
    <row r="15" spans="1:17" ht="58.05" customHeight="1">
      <c r="A15" s="21" t="s">
        <v>12</v>
      </c>
      <c r="B15" s="21" t="s">
        <v>117</v>
      </c>
      <c r="C15" s="21" t="s">
        <v>118</v>
      </c>
      <c r="D15" s="21" t="s">
        <v>119</v>
      </c>
      <c r="E15" s="21" t="s">
        <v>120</v>
      </c>
      <c r="F15" s="21" t="s">
        <v>34</v>
      </c>
      <c r="G15" s="21" t="s">
        <v>121</v>
      </c>
      <c r="H15" s="21" t="s">
        <v>111</v>
      </c>
      <c r="I15" s="21" t="s">
        <v>7</v>
      </c>
      <c r="J15" s="21">
        <f t="shared" si="0"/>
        <v>2</v>
      </c>
      <c r="K15" s="24"/>
      <c r="L15" s="21"/>
      <c r="M15" s="21"/>
      <c r="N15" s="21"/>
      <c r="O15" s="21"/>
      <c r="P15" s="24"/>
      <c r="Q15" s="21"/>
    </row>
    <row r="16" spans="1:17" ht="58.05" customHeight="1">
      <c r="A16" s="21" t="s">
        <v>12</v>
      </c>
      <c r="B16" s="21" t="s">
        <v>122</v>
      </c>
      <c r="C16" s="21" t="s">
        <v>123</v>
      </c>
      <c r="D16" s="21" t="s">
        <v>124</v>
      </c>
      <c r="E16" s="21" t="s">
        <v>125</v>
      </c>
      <c r="F16" s="21" t="s">
        <v>34</v>
      </c>
      <c r="G16" s="21" t="s">
        <v>121</v>
      </c>
      <c r="H16" s="21" t="s">
        <v>126</v>
      </c>
      <c r="I16" s="21"/>
      <c r="J16" s="21" t="str">
        <f t="shared" si="0"/>
        <v/>
      </c>
      <c r="K16" s="24"/>
      <c r="L16" s="21"/>
      <c r="M16" s="21"/>
      <c r="N16" s="21"/>
      <c r="O16" s="21"/>
      <c r="P16" s="24"/>
      <c r="Q16" s="21"/>
    </row>
    <row r="17" spans="1:17" ht="58.05" customHeight="1">
      <c r="A17" s="21" t="s">
        <v>12</v>
      </c>
      <c r="B17" s="21" t="s">
        <v>127</v>
      </c>
      <c r="C17" s="21" t="s">
        <v>128</v>
      </c>
      <c r="D17" s="21" t="s">
        <v>129</v>
      </c>
      <c r="E17" s="21" t="s">
        <v>130</v>
      </c>
      <c r="F17" s="21" t="s">
        <v>131</v>
      </c>
      <c r="G17" s="21" t="s">
        <v>110</v>
      </c>
      <c r="H17" s="21" t="s">
        <v>126</v>
      </c>
      <c r="I17" s="21"/>
      <c r="J17" s="21" t="str">
        <f t="shared" si="0"/>
        <v/>
      </c>
      <c r="K17" s="24"/>
      <c r="L17" s="21"/>
      <c r="M17" s="21"/>
      <c r="N17" s="21"/>
      <c r="O17" s="21"/>
      <c r="P17" s="24"/>
      <c r="Q17" s="21"/>
    </row>
    <row r="18" spans="1:17" ht="58.05" customHeight="1">
      <c r="A18" s="21" t="s">
        <v>12</v>
      </c>
      <c r="B18" s="21" t="s">
        <v>132</v>
      </c>
      <c r="C18" s="21" t="s">
        <v>133</v>
      </c>
      <c r="D18" s="21" t="s">
        <v>134</v>
      </c>
      <c r="E18" s="21" t="s">
        <v>135</v>
      </c>
      <c r="F18" s="21" t="s">
        <v>34</v>
      </c>
      <c r="G18" s="21" t="s">
        <v>121</v>
      </c>
      <c r="H18" s="21" t="s">
        <v>126</v>
      </c>
      <c r="I18" s="21"/>
      <c r="J18" s="21" t="str">
        <f t="shared" si="0"/>
        <v/>
      </c>
      <c r="K18" s="24"/>
      <c r="L18" s="21"/>
      <c r="M18" s="21"/>
      <c r="N18" s="21"/>
      <c r="O18" s="21"/>
      <c r="P18" s="24"/>
      <c r="Q18" s="21"/>
    </row>
    <row r="19" spans="1:17" ht="58.05" customHeight="1">
      <c r="A19" s="21" t="s">
        <v>12</v>
      </c>
      <c r="B19" s="21" t="s">
        <v>136</v>
      </c>
      <c r="C19" s="21" t="s">
        <v>137</v>
      </c>
      <c r="D19" s="21" t="s">
        <v>138</v>
      </c>
      <c r="E19" s="21" t="s">
        <v>139</v>
      </c>
      <c r="F19" s="21" t="s">
        <v>34</v>
      </c>
      <c r="G19" s="21" t="s">
        <v>121</v>
      </c>
      <c r="H19" s="21" t="s">
        <v>126</v>
      </c>
      <c r="I19" s="21"/>
      <c r="J19" s="21" t="str">
        <f t="shared" si="0"/>
        <v/>
      </c>
      <c r="K19" s="24"/>
      <c r="L19" s="21"/>
      <c r="M19" s="21"/>
      <c r="N19" s="21"/>
      <c r="O19" s="21"/>
      <c r="P19" s="24"/>
      <c r="Q19" s="21"/>
    </row>
    <row r="20" spans="1:17" ht="58.05" customHeight="1">
      <c r="A20" s="21" t="s">
        <v>12</v>
      </c>
      <c r="B20" s="21" t="s">
        <v>140</v>
      </c>
      <c r="C20" s="21" t="s">
        <v>141</v>
      </c>
      <c r="D20" s="21" t="s">
        <v>142</v>
      </c>
      <c r="E20" s="21" t="s">
        <v>143</v>
      </c>
      <c r="F20" s="21" t="s">
        <v>81</v>
      </c>
      <c r="G20" s="21" t="s">
        <v>121</v>
      </c>
      <c r="H20" s="21" t="s">
        <v>126</v>
      </c>
      <c r="I20" s="21"/>
      <c r="J20" s="21" t="str">
        <f t="shared" si="0"/>
        <v/>
      </c>
      <c r="K20" s="24"/>
      <c r="L20" s="21"/>
      <c r="M20" s="21"/>
      <c r="N20" s="21"/>
      <c r="O20" s="21"/>
      <c r="P20" s="24"/>
      <c r="Q20" s="21"/>
    </row>
    <row r="21" spans="1:17" ht="58.05" customHeight="1">
      <c r="A21" s="21" t="s">
        <v>12</v>
      </c>
      <c r="B21" s="21" t="s">
        <v>144</v>
      </c>
      <c r="C21" s="21" t="s">
        <v>145</v>
      </c>
      <c r="D21" s="21" t="s">
        <v>146</v>
      </c>
      <c r="E21" s="21" t="s">
        <v>147</v>
      </c>
      <c r="F21" s="21" t="s">
        <v>116</v>
      </c>
      <c r="G21" s="21" t="s">
        <v>110</v>
      </c>
      <c r="H21" s="21" t="s">
        <v>126</v>
      </c>
      <c r="I21" s="21"/>
      <c r="J21" s="21" t="str">
        <f t="shared" si="0"/>
        <v/>
      </c>
      <c r="K21" s="24"/>
      <c r="L21" s="21"/>
      <c r="M21" s="21"/>
      <c r="N21" s="21"/>
      <c r="O21" s="21"/>
      <c r="P21" s="24"/>
      <c r="Q21" s="21"/>
    </row>
    <row r="22" spans="1:17" ht="58.05" customHeight="1">
      <c r="A22" s="21" t="s">
        <v>12</v>
      </c>
      <c r="B22" s="21" t="s">
        <v>148</v>
      </c>
      <c r="C22" s="21" t="s">
        <v>149</v>
      </c>
      <c r="D22" s="21" t="s">
        <v>150</v>
      </c>
      <c r="E22" s="21" t="s">
        <v>151</v>
      </c>
      <c r="F22" s="21" t="s">
        <v>131</v>
      </c>
      <c r="G22" s="21" t="s">
        <v>110</v>
      </c>
      <c r="H22" s="21" t="s">
        <v>126</v>
      </c>
      <c r="I22" s="21"/>
      <c r="J22" s="21" t="str">
        <f t="shared" si="0"/>
        <v/>
      </c>
      <c r="K22" s="24"/>
      <c r="L22" s="21"/>
      <c r="M22" s="21"/>
      <c r="N22" s="21"/>
      <c r="O22" s="21"/>
      <c r="P22" s="24"/>
      <c r="Q22" s="21"/>
    </row>
    <row r="23" spans="1:17" ht="58.05" customHeight="1">
      <c r="A23" s="21" t="s">
        <v>12</v>
      </c>
      <c r="B23" s="21" t="s">
        <v>152</v>
      </c>
      <c r="C23" s="21" t="s">
        <v>153</v>
      </c>
      <c r="D23" s="21" t="s">
        <v>154</v>
      </c>
      <c r="E23" s="21" t="s">
        <v>155</v>
      </c>
      <c r="F23" s="21" t="s">
        <v>38</v>
      </c>
      <c r="G23" s="21" t="s">
        <v>110</v>
      </c>
      <c r="H23" s="21" t="s">
        <v>126</v>
      </c>
      <c r="I23" s="21"/>
      <c r="J23" s="21" t="str">
        <f t="shared" si="0"/>
        <v/>
      </c>
      <c r="K23" s="24"/>
      <c r="L23" s="21"/>
      <c r="M23" s="21"/>
      <c r="N23" s="21"/>
      <c r="O23" s="21"/>
      <c r="P23" s="24"/>
      <c r="Q23" s="21"/>
    </row>
    <row r="24" spans="1:17" ht="58.05" customHeight="1">
      <c r="A24" s="21" t="s">
        <v>12</v>
      </c>
      <c r="B24" s="21" t="s">
        <v>156</v>
      </c>
      <c r="C24" s="21" t="s">
        <v>157</v>
      </c>
      <c r="D24" s="21" t="s">
        <v>158</v>
      </c>
      <c r="E24" s="21" t="s">
        <v>159</v>
      </c>
      <c r="F24" s="21" t="s">
        <v>34</v>
      </c>
      <c r="G24" s="21" t="s">
        <v>110</v>
      </c>
      <c r="H24" s="21" t="s">
        <v>126</v>
      </c>
      <c r="I24" s="21"/>
      <c r="J24" s="21" t="str">
        <f t="shared" si="0"/>
        <v/>
      </c>
      <c r="K24" s="24"/>
      <c r="L24" s="21"/>
      <c r="M24" s="21"/>
      <c r="N24" s="21"/>
      <c r="O24" s="21"/>
      <c r="P24" s="24"/>
      <c r="Q24" s="21"/>
    </row>
    <row r="25" spans="1:17" ht="58.05" customHeight="1">
      <c r="A25" s="21" t="s">
        <v>14</v>
      </c>
      <c r="B25" s="21" t="s">
        <v>160</v>
      </c>
      <c r="C25" s="21" t="s">
        <v>161</v>
      </c>
      <c r="D25" s="21" t="s">
        <v>162</v>
      </c>
      <c r="E25" s="21" t="s">
        <v>163</v>
      </c>
      <c r="F25" s="21" t="s">
        <v>34</v>
      </c>
      <c r="G25" s="21" t="s">
        <v>121</v>
      </c>
      <c r="H25" s="21" t="s">
        <v>126</v>
      </c>
      <c r="I25" s="21"/>
      <c r="J25" s="21" t="str">
        <f t="shared" si="0"/>
        <v/>
      </c>
      <c r="K25" s="24"/>
      <c r="L25" s="21"/>
      <c r="M25" s="21"/>
      <c r="N25" s="21"/>
      <c r="O25" s="21"/>
      <c r="P25" s="24"/>
      <c r="Q25" s="21"/>
    </row>
    <row r="26" spans="1:17" ht="58.05" customHeight="1">
      <c r="A26" s="21" t="s">
        <v>14</v>
      </c>
      <c r="B26" s="21" t="s">
        <v>164</v>
      </c>
      <c r="C26" s="21" t="s">
        <v>165</v>
      </c>
      <c r="D26" s="21" t="s">
        <v>166</v>
      </c>
      <c r="E26" s="21" t="s">
        <v>167</v>
      </c>
      <c r="F26" s="21" t="s">
        <v>34</v>
      </c>
      <c r="G26" s="21" t="s">
        <v>110</v>
      </c>
      <c r="H26" s="21" t="s">
        <v>126</v>
      </c>
      <c r="I26" s="21"/>
      <c r="J26" s="21" t="str">
        <f t="shared" si="0"/>
        <v/>
      </c>
      <c r="K26" s="24"/>
      <c r="L26" s="21"/>
      <c r="M26" s="21"/>
      <c r="N26" s="21"/>
      <c r="O26" s="21"/>
      <c r="P26" s="24"/>
      <c r="Q26" s="21"/>
    </row>
    <row r="27" spans="1:17" ht="58.05" customHeight="1">
      <c r="A27" s="21" t="s">
        <v>14</v>
      </c>
      <c r="B27" s="21" t="s">
        <v>168</v>
      </c>
      <c r="C27" s="21" t="s">
        <v>169</v>
      </c>
      <c r="D27" s="21" t="s">
        <v>170</v>
      </c>
      <c r="E27" s="21" t="s">
        <v>171</v>
      </c>
      <c r="F27" s="21" t="s">
        <v>81</v>
      </c>
      <c r="G27" s="21" t="s">
        <v>121</v>
      </c>
      <c r="H27" s="21" t="s">
        <v>126</v>
      </c>
      <c r="I27" s="21"/>
      <c r="J27" s="21" t="str">
        <f t="shared" si="0"/>
        <v/>
      </c>
      <c r="K27" s="24"/>
      <c r="L27" s="21"/>
      <c r="M27" s="21"/>
      <c r="N27" s="21"/>
      <c r="O27" s="21"/>
      <c r="P27" s="24"/>
      <c r="Q27" s="21"/>
    </row>
    <row r="28" spans="1:17" ht="58.05" customHeight="1">
      <c r="A28" s="21" t="s">
        <v>14</v>
      </c>
      <c r="B28" s="21" t="s">
        <v>172</v>
      </c>
      <c r="C28" s="21" t="s">
        <v>173</v>
      </c>
      <c r="D28" s="21" t="s">
        <v>174</v>
      </c>
      <c r="E28" s="21" t="s">
        <v>175</v>
      </c>
      <c r="F28" s="21" t="s">
        <v>81</v>
      </c>
      <c r="G28" s="21" t="s">
        <v>121</v>
      </c>
      <c r="H28" s="21" t="s">
        <v>126</v>
      </c>
      <c r="I28" s="21"/>
      <c r="J28" s="21" t="str">
        <f t="shared" si="0"/>
        <v/>
      </c>
      <c r="K28" s="24"/>
      <c r="L28" s="21"/>
      <c r="M28" s="21"/>
      <c r="N28" s="21"/>
      <c r="O28" s="21"/>
      <c r="P28" s="24"/>
      <c r="Q28" s="21"/>
    </row>
    <row r="29" spans="1:17" ht="58.05" customHeight="1">
      <c r="A29" s="21" t="s">
        <v>14</v>
      </c>
      <c r="B29" s="21" t="s">
        <v>176</v>
      </c>
      <c r="C29" s="21" t="s">
        <v>177</v>
      </c>
      <c r="D29" s="21" t="s">
        <v>178</v>
      </c>
      <c r="E29" s="21" t="s">
        <v>179</v>
      </c>
      <c r="F29" s="21" t="s">
        <v>131</v>
      </c>
      <c r="G29" s="21" t="s">
        <v>121</v>
      </c>
      <c r="H29" s="21" t="s">
        <v>126</v>
      </c>
      <c r="I29" s="21"/>
      <c r="J29" s="21" t="str">
        <f t="shared" si="0"/>
        <v/>
      </c>
      <c r="K29" s="24"/>
      <c r="L29" s="21"/>
      <c r="M29" s="21"/>
      <c r="N29" s="21"/>
      <c r="O29" s="21"/>
      <c r="P29" s="24"/>
      <c r="Q29" s="21"/>
    </row>
    <row r="30" spans="1:17" ht="58.05" customHeight="1">
      <c r="A30" s="21" t="s">
        <v>14</v>
      </c>
      <c r="B30" s="21" t="s">
        <v>180</v>
      </c>
      <c r="C30" s="21" t="s">
        <v>181</v>
      </c>
      <c r="D30" s="21" t="s">
        <v>182</v>
      </c>
      <c r="E30" s="21" t="s">
        <v>183</v>
      </c>
      <c r="F30" s="21" t="s">
        <v>34</v>
      </c>
      <c r="G30" s="21" t="s">
        <v>110</v>
      </c>
      <c r="H30" s="21" t="s">
        <v>126</v>
      </c>
      <c r="I30" s="21"/>
      <c r="J30" s="21" t="str">
        <f t="shared" si="0"/>
        <v/>
      </c>
      <c r="K30" s="24"/>
      <c r="L30" s="21"/>
      <c r="M30" s="21"/>
      <c r="N30" s="21"/>
      <c r="O30" s="21"/>
      <c r="P30" s="24"/>
      <c r="Q30" s="21"/>
    </row>
    <row r="31" spans="1:17" ht="58.05" customHeight="1">
      <c r="A31" s="21" t="s">
        <v>14</v>
      </c>
      <c r="B31" s="21" t="s">
        <v>184</v>
      </c>
      <c r="C31" s="21" t="s">
        <v>185</v>
      </c>
      <c r="D31" s="21" t="s">
        <v>186</v>
      </c>
      <c r="E31" s="21" t="s">
        <v>187</v>
      </c>
      <c r="F31" s="21" t="s">
        <v>38</v>
      </c>
      <c r="G31" s="21" t="s">
        <v>110</v>
      </c>
      <c r="H31" s="21" t="s">
        <v>126</v>
      </c>
      <c r="I31" s="21"/>
      <c r="J31" s="21" t="str">
        <f t="shared" si="0"/>
        <v/>
      </c>
      <c r="K31" s="24"/>
      <c r="L31" s="21"/>
      <c r="M31" s="21"/>
      <c r="N31" s="21"/>
      <c r="O31" s="21"/>
      <c r="P31" s="24"/>
      <c r="Q31" s="21"/>
    </row>
    <row r="32" spans="1:17" ht="58.05" customHeight="1">
      <c r="A32" s="21" t="s">
        <v>14</v>
      </c>
      <c r="B32" s="21" t="s">
        <v>188</v>
      </c>
      <c r="C32" s="21" t="s">
        <v>189</v>
      </c>
      <c r="D32" s="21" t="s">
        <v>190</v>
      </c>
      <c r="E32" s="21" t="s">
        <v>191</v>
      </c>
      <c r="F32" s="21" t="s">
        <v>131</v>
      </c>
      <c r="G32" s="21" t="s">
        <v>192</v>
      </c>
      <c r="H32" s="21" t="s">
        <v>126</v>
      </c>
      <c r="I32" s="21"/>
      <c r="J32" s="21" t="str">
        <f t="shared" si="0"/>
        <v/>
      </c>
      <c r="K32" s="24"/>
      <c r="L32" s="21"/>
      <c r="M32" s="21"/>
      <c r="N32" s="21"/>
      <c r="O32" s="21"/>
      <c r="P32" s="24"/>
      <c r="Q32" s="21"/>
    </row>
    <row r="33" spans="1:17" ht="58.05" customHeight="1">
      <c r="A33" s="21" t="s">
        <v>14</v>
      </c>
      <c r="B33" s="21" t="s">
        <v>193</v>
      </c>
      <c r="C33" s="21" t="s">
        <v>194</v>
      </c>
      <c r="D33" s="21" t="s">
        <v>195</v>
      </c>
      <c r="E33" s="21" t="s">
        <v>196</v>
      </c>
      <c r="F33" s="21" t="s">
        <v>81</v>
      </c>
      <c r="G33" s="21" t="s">
        <v>110</v>
      </c>
      <c r="H33" s="21" t="s">
        <v>126</v>
      </c>
      <c r="I33" s="21"/>
      <c r="J33" s="21" t="str">
        <f t="shared" si="0"/>
        <v/>
      </c>
      <c r="K33" s="24"/>
      <c r="L33" s="21"/>
      <c r="M33" s="21"/>
      <c r="N33" s="21"/>
      <c r="O33" s="21"/>
      <c r="P33" s="24"/>
      <c r="Q33" s="21"/>
    </row>
    <row r="34" spans="1:17" ht="58.05" customHeight="1">
      <c r="A34" s="21" t="s">
        <v>16</v>
      </c>
      <c r="B34" s="21" t="s">
        <v>197</v>
      </c>
      <c r="C34" s="21" t="s">
        <v>198</v>
      </c>
      <c r="D34" s="21" t="s">
        <v>199</v>
      </c>
      <c r="E34" s="21" t="s">
        <v>200</v>
      </c>
      <c r="F34" s="21" t="s">
        <v>34</v>
      </c>
      <c r="G34" s="21" t="s">
        <v>121</v>
      </c>
      <c r="H34" s="21" t="s">
        <v>126</v>
      </c>
      <c r="I34" s="21"/>
      <c r="J34" s="21" t="str">
        <f t="shared" si="0"/>
        <v/>
      </c>
      <c r="K34" s="24"/>
      <c r="L34" s="21"/>
      <c r="M34" s="21"/>
      <c r="N34" s="21"/>
      <c r="O34" s="21"/>
      <c r="P34" s="24"/>
      <c r="Q34" s="21"/>
    </row>
    <row r="35" spans="1:17" ht="58.05" customHeight="1">
      <c r="A35" s="21" t="s">
        <v>16</v>
      </c>
      <c r="B35" s="21" t="s">
        <v>201</v>
      </c>
      <c r="C35" s="21" t="s">
        <v>202</v>
      </c>
      <c r="D35" s="21" t="s">
        <v>203</v>
      </c>
      <c r="E35" s="21" t="s">
        <v>204</v>
      </c>
      <c r="F35" s="21" t="s">
        <v>34</v>
      </c>
      <c r="G35" s="21" t="s">
        <v>121</v>
      </c>
      <c r="H35" s="21" t="s">
        <v>126</v>
      </c>
      <c r="I35" s="21"/>
      <c r="J35" s="21" t="str">
        <f t="shared" si="0"/>
        <v/>
      </c>
      <c r="K35" s="24"/>
      <c r="L35" s="21"/>
      <c r="M35" s="21"/>
      <c r="N35" s="21"/>
      <c r="O35" s="21"/>
      <c r="P35" s="24"/>
      <c r="Q35" s="21"/>
    </row>
    <row r="36" spans="1:17" ht="58.05" customHeight="1">
      <c r="A36" s="21" t="s">
        <v>16</v>
      </c>
      <c r="B36" s="21" t="s">
        <v>205</v>
      </c>
      <c r="C36" s="21" t="s">
        <v>206</v>
      </c>
      <c r="D36" s="21" t="s">
        <v>207</v>
      </c>
      <c r="E36" s="21" t="s">
        <v>208</v>
      </c>
      <c r="F36" s="21" t="s">
        <v>116</v>
      </c>
      <c r="G36" s="21" t="s">
        <v>110</v>
      </c>
      <c r="H36" s="21" t="s">
        <v>126</v>
      </c>
      <c r="I36" s="21"/>
      <c r="J36" s="21" t="str">
        <f t="shared" si="0"/>
        <v/>
      </c>
      <c r="K36" s="24"/>
      <c r="L36" s="21"/>
      <c r="M36" s="21"/>
      <c r="N36" s="21"/>
      <c r="O36" s="21"/>
      <c r="P36" s="24"/>
      <c r="Q36" s="21"/>
    </row>
    <row r="37" spans="1:17" ht="58.05" customHeight="1">
      <c r="A37" s="21" t="s">
        <v>16</v>
      </c>
      <c r="B37" s="21" t="s">
        <v>209</v>
      </c>
      <c r="C37" s="21" t="s">
        <v>210</v>
      </c>
      <c r="D37" s="21" t="s">
        <v>211</v>
      </c>
      <c r="E37" s="21" t="s">
        <v>212</v>
      </c>
      <c r="F37" s="21" t="s">
        <v>116</v>
      </c>
      <c r="G37" s="21" t="s">
        <v>121</v>
      </c>
      <c r="H37" s="21" t="s">
        <v>126</v>
      </c>
      <c r="I37" s="21"/>
      <c r="J37" s="21" t="str">
        <f t="shared" si="0"/>
        <v/>
      </c>
      <c r="K37" s="24"/>
      <c r="L37" s="21"/>
      <c r="M37" s="21"/>
      <c r="N37" s="21"/>
      <c r="O37" s="21"/>
      <c r="P37" s="24"/>
      <c r="Q37" s="21"/>
    </row>
    <row r="38" spans="1:17" ht="58.05" customHeight="1">
      <c r="A38" s="21" t="s">
        <v>16</v>
      </c>
      <c r="B38" s="21" t="s">
        <v>213</v>
      </c>
      <c r="C38" s="21" t="s">
        <v>214</v>
      </c>
      <c r="D38" s="21" t="s">
        <v>215</v>
      </c>
      <c r="E38" s="21" t="s">
        <v>216</v>
      </c>
      <c r="F38" s="21" t="s">
        <v>38</v>
      </c>
      <c r="G38" s="21" t="s">
        <v>110</v>
      </c>
      <c r="H38" s="21" t="s">
        <v>126</v>
      </c>
      <c r="I38" s="21"/>
      <c r="J38" s="21" t="str">
        <f t="shared" si="0"/>
        <v/>
      </c>
      <c r="K38" s="24"/>
      <c r="L38" s="21"/>
      <c r="M38" s="21"/>
      <c r="N38" s="21"/>
      <c r="O38" s="21"/>
      <c r="P38" s="24"/>
      <c r="Q38" s="21"/>
    </row>
    <row r="39" spans="1:17" ht="58.05" customHeight="1">
      <c r="A39" s="21" t="s">
        <v>16</v>
      </c>
      <c r="B39" s="21" t="s">
        <v>217</v>
      </c>
      <c r="C39" s="21" t="s">
        <v>218</v>
      </c>
      <c r="D39" s="21" t="s">
        <v>219</v>
      </c>
      <c r="E39" s="21" t="s">
        <v>220</v>
      </c>
      <c r="F39" s="21" t="s">
        <v>34</v>
      </c>
      <c r="G39" s="21" t="s">
        <v>110</v>
      </c>
      <c r="H39" s="21" t="s">
        <v>126</v>
      </c>
      <c r="I39" s="21"/>
      <c r="J39" s="21" t="str">
        <f t="shared" si="0"/>
        <v/>
      </c>
      <c r="K39" s="24"/>
      <c r="L39" s="21"/>
      <c r="M39" s="21"/>
      <c r="N39" s="21"/>
      <c r="O39" s="21"/>
      <c r="P39" s="24"/>
      <c r="Q39" s="21"/>
    </row>
    <row r="40" spans="1:17" ht="58.05" customHeight="1">
      <c r="A40" s="21" t="s">
        <v>16</v>
      </c>
      <c r="B40" s="21" t="s">
        <v>221</v>
      </c>
      <c r="C40" s="21" t="s">
        <v>222</v>
      </c>
      <c r="D40" s="21" t="s">
        <v>223</v>
      </c>
      <c r="E40" s="21" t="s">
        <v>224</v>
      </c>
      <c r="F40" s="21" t="s">
        <v>116</v>
      </c>
      <c r="G40" s="21" t="s">
        <v>110</v>
      </c>
      <c r="H40" s="21" t="s">
        <v>126</v>
      </c>
      <c r="I40" s="21"/>
      <c r="J40" s="21" t="str">
        <f t="shared" si="0"/>
        <v/>
      </c>
      <c r="K40" s="24"/>
      <c r="L40" s="21"/>
      <c r="M40" s="21"/>
      <c r="N40" s="21"/>
      <c r="O40" s="21"/>
      <c r="P40" s="24"/>
      <c r="Q40" s="21"/>
    </row>
    <row r="41" spans="1:17" ht="58.05" customHeight="1">
      <c r="A41" s="21" t="s">
        <v>16</v>
      </c>
      <c r="B41" s="21" t="s">
        <v>225</v>
      </c>
      <c r="C41" s="21" t="s">
        <v>226</v>
      </c>
      <c r="D41" s="21" t="s">
        <v>227</v>
      </c>
      <c r="E41" s="21" t="s">
        <v>228</v>
      </c>
      <c r="F41" s="21" t="s">
        <v>116</v>
      </c>
      <c r="G41" s="21" t="s">
        <v>110</v>
      </c>
      <c r="H41" s="21" t="s">
        <v>126</v>
      </c>
      <c r="I41" s="21"/>
      <c r="J41" s="21" t="str">
        <f t="shared" si="0"/>
        <v/>
      </c>
      <c r="K41" s="24"/>
      <c r="L41" s="21"/>
      <c r="M41" s="21"/>
      <c r="N41" s="21"/>
      <c r="O41" s="21"/>
      <c r="P41" s="24"/>
      <c r="Q41" s="21"/>
    </row>
    <row r="42" spans="1:17" ht="58.05" customHeight="1">
      <c r="A42" s="21" t="s">
        <v>16</v>
      </c>
      <c r="B42" s="21" t="s">
        <v>229</v>
      </c>
      <c r="C42" s="21" t="s">
        <v>230</v>
      </c>
      <c r="D42" s="21" t="s">
        <v>231</v>
      </c>
      <c r="E42" s="21" t="s">
        <v>232</v>
      </c>
      <c r="F42" s="21" t="s">
        <v>116</v>
      </c>
      <c r="G42" s="21" t="s">
        <v>192</v>
      </c>
      <c r="H42" s="21" t="s">
        <v>126</v>
      </c>
      <c r="I42" s="21"/>
      <c r="J42" s="21" t="str">
        <f t="shared" si="0"/>
        <v/>
      </c>
      <c r="K42" s="24"/>
      <c r="L42" s="21"/>
      <c r="M42" s="21"/>
      <c r="N42" s="21"/>
      <c r="O42" s="21"/>
      <c r="P42" s="24"/>
      <c r="Q42" s="21"/>
    </row>
    <row r="43" spans="1:17" ht="58.05" customHeight="1">
      <c r="A43" s="21" t="s">
        <v>16</v>
      </c>
      <c r="B43" s="21" t="s">
        <v>233</v>
      </c>
      <c r="C43" s="21" t="s">
        <v>234</v>
      </c>
      <c r="D43" s="21" t="s">
        <v>235</v>
      </c>
      <c r="E43" s="21" t="s">
        <v>236</v>
      </c>
      <c r="F43" s="21" t="s">
        <v>38</v>
      </c>
      <c r="G43" s="21" t="s">
        <v>110</v>
      </c>
      <c r="H43" s="21" t="s">
        <v>126</v>
      </c>
      <c r="I43" s="21"/>
      <c r="J43" s="21" t="str">
        <f t="shared" si="0"/>
        <v/>
      </c>
      <c r="K43" s="24"/>
      <c r="L43" s="21"/>
      <c r="M43" s="21"/>
      <c r="N43" s="21"/>
      <c r="O43" s="21"/>
      <c r="P43" s="24"/>
      <c r="Q43" s="21"/>
    </row>
    <row r="44" spans="1:17" ht="58.05" customHeight="1">
      <c r="A44" s="21" t="s">
        <v>16</v>
      </c>
      <c r="B44" s="21" t="s">
        <v>237</v>
      </c>
      <c r="C44" s="21" t="s">
        <v>238</v>
      </c>
      <c r="D44" s="21" t="s">
        <v>239</v>
      </c>
      <c r="E44" s="21" t="s">
        <v>240</v>
      </c>
      <c r="F44" s="21" t="s">
        <v>38</v>
      </c>
      <c r="G44" s="21" t="s">
        <v>110</v>
      </c>
      <c r="H44" s="21" t="s">
        <v>126</v>
      </c>
      <c r="I44" s="21"/>
      <c r="J44" s="21" t="str">
        <f t="shared" si="0"/>
        <v/>
      </c>
      <c r="K44" s="24"/>
      <c r="L44" s="21"/>
      <c r="M44" s="21"/>
      <c r="N44" s="21"/>
      <c r="O44" s="21"/>
      <c r="P44" s="24"/>
      <c r="Q44" s="21"/>
    </row>
    <row r="45" spans="1:17" ht="58.05" customHeight="1">
      <c r="A45" s="21" t="s">
        <v>18</v>
      </c>
      <c r="B45" s="21" t="s">
        <v>241</v>
      </c>
      <c r="C45" s="21" t="s">
        <v>242</v>
      </c>
      <c r="D45" s="21" t="s">
        <v>243</v>
      </c>
      <c r="E45" s="21" t="s">
        <v>244</v>
      </c>
      <c r="F45" s="21" t="s">
        <v>116</v>
      </c>
      <c r="G45" s="21" t="s">
        <v>110</v>
      </c>
      <c r="H45" s="21" t="s">
        <v>126</v>
      </c>
      <c r="I45" s="21"/>
      <c r="J45" s="21" t="str">
        <f t="shared" ref="J45:J76" si="1">IF(I45="Cumple",2,IF(I45="Cumple parcialmente",1,IF(I45="No cumple",0,"")))</f>
        <v/>
      </c>
      <c r="K45" s="24"/>
      <c r="L45" s="21"/>
      <c r="M45" s="21"/>
      <c r="N45" s="21"/>
      <c r="O45" s="21"/>
      <c r="P45" s="24"/>
      <c r="Q45" s="21"/>
    </row>
    <row r="46" spans="1:17" ht="58.05" customHeight="1">
      <c r="A46" s="21" t="s">
        <v>18</v>
      </c>
      <c r="B46" s="21" t="s">
        <v>245</v>
      </c>
      <c r="C46" s="21" t="s">
        <v>246</v>
      </c>
      <c r="D46" s="21" t="s">
        <v>247</v>
      </c>
      <c r="E46" s="21" t="s">
        <v>248</v>
      </c>
      <c r="F46" s="21" t="s">
        <v>116</v>
      </c>
      <c r="G46" s="21" t="s">
        <v>110</v>
      </c>
      <c r="H46" s="21" t="s">
        <v>126</v>
      </c>
      <c r="I46" s="21"/>
      <c r="J46" s="21" t="str">
        <f t="shared" si="1"/>
        <v/>
      </c>
      <c r="K46" s="24"/>
      <c r="L46" s="21"/>
      <c r="M46" s="21"/>
      <c r="N46" s="21"/>
      <c r="O46" s="21"/>
      <c r="P46" s="24"/>
      <c r="Q46" s="21"/>
    </row>
    <row r="47" spans="1:17" ht="58.05" customHeight="1">
      <c r="A47" s="21" t="s">
        <v>18</v>
      </c>
      <c r="B47" s="21" t="s">
        <v>249</v>
      </c>
      <c r="C47" s="21" t="s">
        <v>250</v>
      </c>
      <c r="D47" s="21" t="s">
        <v>251</v>
      </c>
      <c r="E47" s="21" t="s">
        <v>252</v>
      </c>
      <c r="F47" s="21" t="s">
        <v>116</v>
      </c>
      <c r="G47" s="21" t="s">
        <v>192</v>
      </c>
      <c r="H47" s="21" t="s">
        <v>126</v>
      </c>
      <c r="I47" s="21"/>
      <c r="J47" s="21" t="str">
        <f t="shared" si="1"/>
        <v/>
      </c>
      <c r="K47" s="24"/>
      <c r="L47" s="21"/>
      <c r="M47" s="21"/>
      <c r="N47" s="21"/>
      <c r="O47" s="21"/>
      <c r="P47" s="24"/>
      <c r="Q47" s="21"/>
    </row>
    <row r="48" spans="1:17" ht="58.05" customHeight="1">
      <c r="A48" s="21" t="s">
        <v>18</v>
      </c>
      <c r="B48" s="21" t="s">
        <v>253</v>
      </c>
      <c r="C48" s="21" t="s">
        <v>254</v>
      </c>
      <c r="D48" s="21" t="s">
        <v>255</v>
      </c>
      <c r="E48" s="21" t="s">
        <v>256</v>
      </c>
      <c r="F48" s="21" t="s">
        <v>116</v>
      </c>
      <c r="G48" s="21" t="s">
        <v>192</v>
      </c>
      <c r="H48" s="21" t="s">
        <v>126</v>
      </c>
      <c r="I48" s="21"/>
      <c r="J48" s="21" t="str">
        <f t="shared" si="1"/>
        <v/>
      </c>
      <c r="K48" s="24"/>
      <c r="L48" s="21"/>
      <c r="M48" s="21"/>
      <c r="N48" s="21"/>
      <c r="O48" s="21"/>
      <c r="P48" s="24"/>
      <c r="Q48" s="21"/>
    </row>
    <row r="49" spans="1:17" ht="58.05" customHeight="1">
      <c r="A49" s="21" t="s">
        <v>18</v>
      </c>
      <c r="B49" s="21" t="s">
        <v>257</v>
      </c>
      <c r="C49" s="21" t="s">
        <v>258</v>
      </c>
      <c r="D49" s="21" t="s">
        <v>259</v>
      </c>
      <c r="E49" s="21" t="s">
        <v>260</v>
      </c>
      <c r="F49" s="21" t="s">
        <v>34</v>
      </c>
      <c r="G49" s="21" t="s">
        <v>110</v>
      </c>
      <c r="H49" s="21" t="s">
        <v>126</v>
      </c>
      <c r="I49" s="21"/>
      <c r="J49" s="21" t="str">
        <f t="shared" si="1"/>
        <v/>
      </c>
      <c r="K49" s="24"/>
      <c r="L49" s="21"/>
      <c r="M49" s="21"/>
      <c r="N49" s="21"/>
      <c r="O49" s="21"/>
      <c r="P49" s="24"/>
      <c r="Q49" s="21"/>
    </row>
    <row r="50" spans="1:17" ht="58.05" customHeight="1">
      <c r="A50" s="21" t="s">
        <v>18</v>
      </c>
      <c r="B50" s="21" t="s">
        <v>261</v>
      </c>
      <c r="C50" s="21" t="s">
        <v>262</v>
      </c>
      <c r="D50" s="21" t="s">
        <v>263</v>
      </c>
      <c r="E50" s="21" t="s">
        <v>264</v>
      </c>
      <c r="F50" s="21" t="s">
        <v>116</v>
      </c>
      <c r="G50" s="21" t="s">
        <v>110</v>
      </c>
      <c r="H50" s="21" t="s">
        <v>126</v>
      </c>
      <c r="I50" s="21"/>
      <c r="J50" s="21" t="str">
        <f t="shared" si="1"/>
        <v/>
      </c>
      <c r="K50" s="24"/>
      <c r="L50" s="21"/>
      <c r="M50" s="21"/>
      <c r="N50" s="21"/>
      <c r="O50" s="21"/>
      <c r="P50" s="24"/>
      <c r="Q50" s="21"/>
    </row>
    <row r="51" spans="1:17" ht="58.05" customHeight="1">
      <c r="A51" s="21" t="s">
        <v>18</v>
      </c>
      <c r="B51" s="21" t="s">
        <v>265</v>
      </c>
      <c r="C51" s="21" t="s">
        <v>266</v>
      </c>
      <c r="D51" s="21" t="s">
        <v>267</v>
      </c>
      <c r="E51" s="21" t="s">
        <v>268</v>
      </c>
      <c r="F51" s="21" t="s">
        <v>116</v>
      </c>
      <c r="G51" s="21" t="s">
        <v>110</v>
      </c>
      <c r="H51" s="21" t="s">
        <v>126</v>
      </c>
      <c r="I51" s="21"/>
      <c r="J51" s="21" t="str">
        <f t="shared" si="1"/>
        <v/>
      </c>
      <c r="K51" s="24"/>
      <c r="L51" s="21"/>
      <c r="M51" s="21"/>
      <c r="N51" s="21"/>
      <c r="O51" s="21"/>
      <c r="P51" s="24"/>
      <c r="Q51" s="21"/>
    </row>
    <row r="52" spans="1:17" ht="58.05" customHeight="1">
      <c r="A52" s="21" t="s">
        <v>18</v>
      </c>
      <c r="B52" s="21" t="s">
        <v>269</v>
      </c>
      <c r="C52" s="21" t="s">
        <v>270</v>
      </c>
      <c r="D52" s="21" t="s">
        <v>271</v>
      </c>
      <c r="E52" s="21" t="s">
        <v>272</v>
      </c>
      <c r="F52" s="21" t="s">
        <v>116</v>
      </c>
      <c r="G52" s="21" t="s">
        <v>110</v>
      </c>
      <c r="H52" s="21" t="s">
        <v>126</v>
      </c>
      <c r="I52" s="21"/>
      <c r="J52" s="21" t="str">
        <f t="shared" si="1"/>
        <v/>
      </c>
      <c r="K52" s="24"/>
      <c r="L52" s="21"/>
      <c r="M52" s="21"/>
      <c r="N52" s="21"/>
      <c r="O52" s="21"/>
      <c r="P52" s="24"/>
      <c r="Q52" s="21"/>
    </row>
    <row r="53" spans="1:17" ht="58.05" customHeight="1">
      <c r="A53" s="21" t="s">
        <v>18</v>
      </c>
      <c r="B53" s="21" t="s">
        <v>273</v>
      </c>
      <c r="C53" s="21" t="s">
        <v>274</v>
      </c>
      <c r="D53" s="21" t="s">
        <v>275</v>
      </c>
      <c r="E53" s="21" t="s">
        <v>252</v>
      </c>
      <c r="F53" s="21" t="s">
        <v>38</v>
      </c>
      <c r="G53" s="21" t="s">
        <v>192</v>
      </c>
      <c r="H53" s="21" t="s">
        <v>126</v>
      </c>
      <c r="I53" s="21"/>
      <c r="J53" s="21" t="str">
        <f t="shared" si="1"/>
        <v/>
      </c>
      <c r="K53" s="24"/>
      <c r="L53" s="21"/>
      <c r="M53" s="21"/>
      <c r="N53" s="21"/>
      <c r="O53" s="21"/>
      <c r="P53" s="24"/>
      <c r="Q53" s="21"/>
    </row>
    <row r="54" spans="1:17" ht="58.05" customHeight="1">
      <c r="A54" s="21" t="s">
        <v>18</v>
      </c>
      <c r="B54" s="21" t="s">
        <v>276</v>
      </c>
      <c r="C54" s="21" t="s">
        <v>277</v>
      </c>
      <c r="D54" s="21" t="s">
        <v>278</v>
      </c>
      <c r="E54" s="21" t="s">
        <v>279</v>
      </c>
      <c r="F54" s="21" t="s">
        <v>34</v>
      </c>
      <c r="G54" s="21" t="s">
        <v>110</v>
      </c>
      <c r="H54" s="21" t="s">
        <v>126</v>
      </c>
      <c r="I54" s="21"/>
      <c r="J54" s="21" t="str">
        <f t="shared" si="1"/>
        <v/>
      </c>
      <c r="K54" s="24"/>
      <c r="L54" s="21"/>
      <c r="M54" s="21"/>
      <c r="N54" s="21"/>
      <c r="O54" s="21"/>
      <c r="P54" s="24"/>
      <c r="Q54" s="21"/>
    </row>
    <row r="55" spans="1:17" ht="58.05" customHeight="1">
      <c r="A55" s="21" t="s">
        <v>20</v>
      </c>
      <c r="B55" s="21" t="s">
        <v>280</v>
      </c>
      <c r="C55" s="21" t="s">
        <v>281</v>
      </c>
      <c r="D55" s="21" t="s">
        <v>282</v>
      </c>
      <c r="E55" s="21" t="s">
        <v>283</v>
      </c>
      <c r="F55" s="21" t="s">
        <v>81</v>
      </c>
      <c r="G55" s="21" t="s">
        <v>110</v>
      </c>
      <c r="H55" s="21" t="s">
        <v>126</v>
      </c>
      <c r="I55" s="21"/>
      <c r="J55" s="21" t="str">
        <f t="shared" si="1"/>
        <v/>
      </c>
      <c r="K55" s="24"/>
      <c r="L55" s="21"/>
      <c r="M55" s="21"/>
      <c r="N55" s="21"/>
      <c r="O55" s="21"/>
      <c r="P55" s="24"/>
      <c r="Q55" s="21"/>
    </row>
    <row r="56" spans="1:17" ht="58.05" customHeight="1">
      <c r="A56" s="21" t="s">
        <v>20</v>
      </c>
      <c r="B56" s="21" t="s">
        <v>284</v>
      </c>
      <c r="C56" s="21" t="s">
        <v>285</v>
      </c>
      <c r="D56" s="21" t="s">
        <v>286</v>
      </c>
      <c r="E56" s="21" t="s">
        <v>287</v>
      </c>
      <c r="F56" s="21" t="s">
        <v>131</v>
      </c>
      <c r="G56" s="21" t="s">
        <v>110</v>
      </c>
      <c r="H56" s="21" t="s">
        <v>126</v>
      </c>
      <c r="I56" s="21"/>
      <c r="J56" s="21" t="str">
        <f t="shared" si="1"/>
        <v/>
      </c>
      <c r="K56" s="24"/>
      <c r="L56" s="21"/>
      <c r="M56" s="21"/>
      <c r="N56" s="21"/>
      <c r="O56" s="21"/>
      <c r="P56" s="24"/>
      <c r="Q56" s="21"/>
    </row>
    <row r="57" spans="1:17" ht="58.05" customHeight="1">
      <c r="A57" s="21" t="s">
        <v>22</v>
      </c>
      <c r="B57" s="21" t="s">
        <v>288</v>
      </c>
      <c r="C57" s="21" t="s">
        <v>289</v>
      </c>
      <c r="D57" s="21" t="s">
        <v>290</v>
      </c>
      <c r="E57" s="21" t="s">
        <v>291</v>
      </c>
      <c r="F57" s="21" t="s">
        <v>34</v>
      </c>
      <c r="G57" s="21" t="s">
        <v>121</v>
      </c>
      <c r="H57" s="21" t="s">
        <v>126</v>
      </c>
      <c r="I57" s="21"/>
      <c r="J57" s="21" t="str">
        <f t="shared" si="1"/>
        <v/>
      </c>
      <c r="K57" s="24"/>
      <c r="L57" s="21"/>
      <c r="M57" s="21"/>
      <c r="N57" s="21"/>
      <c r="O57" s="21"/>
      <c r="P57" s="24"/>
      <c r="Q57" s="21"/>
    </row>
    <row r="58" spans="1:17" ht="58.05" customHeight="1">
      <c r="A58" s="21" t="s">
        <v>22</v>
      </c>
      <c r="B58" s="21" t="s">
        <v>292</v>
      </c>
      <c r="C58" s="21" t="s">
        <v>293</v>
      </c>
      <c r="D58" s="21" t="s">
        <v>294</v>
      </c>
      <c r="E58" s="21" t="s">
        <v>295</v>
      </c>
      <c r="F58" s="21" t="s">
        <v>131</v>
      </c>
      <c r="G58" s="21" t="s">
        <v>121</v>
      </c>
      <c r="H58" s="21" t="s">
        <v>126</v>
      </c>
      <c r="I58" s="21"/>
      <c r="J58" s="21" t="str">
        <f t="shared" si="1"/>
        <v/>
      </c>
      <c r="K58" s="24"/>
      <c r="L58" s="21"/>
      <c r="M58" s="21"/>
      <c r="N58" s="21"/>
      <c r="O58" s="21"/>
      <c r="P58" s="24"/>
      <c r="Q58" s="21"/>
    </row>
    <row r="59" spans="1:17" ht="58.05" customHeight="1">
      <c r="A59" s="21" t="s">
        <v>24</v>
      </c>
      <c r="B59" s="21" t="s">
        <v>296</v>
      </c>
      <c r="C59" s="21" t="s">
        <v>297</v>
      </c>
      <c r="D59" s="21" t="s">
        <v>298</v>
      </c>
      <c r="E59" s="21" t="s">
        <v>299</v>
      </c>
      <c r="F59" s="21" t="s">
        <v>116</v>
      </c>
      <c r="G59" s="21" t="s">
        <v>110</v>
      </c>
      <c r="H59" s="21" t="s">
        <v>126</v>
      </c>
      <c r="I59" s="21"/>
      <c r="J59" s="21" t="str">
        <f t="shared" si="1"/>
        <v/>
      </c>
      <c r="K59" s="24"/>
      <c r="L59" s="21"/>
      <c r="M59" s="21"/>
      <c r="N59" s="21"/>
      <c r="O59" s="21"/>
      <c r="P59" s="24"/>
      <c r="Q59" s="21"/>
    </row>
    <row r="60" spans="1:17" ht="58.05" customHeight="1">
      <c r="A60" s="21" t="s">
        <v>24</v>
      </c>
      <c r="B60" s="21" t="s">
        <v>300</v>
      </c>
      <c r="C60" s="21" t="s">
        <v>301</v>
      </c>
      <c r="D60" s="21" t="s">
        <v>302</v>
      </c>
      <c r="E60" s="21" t="s">
        <v>303</v>
      </c>
      <c r="F60" s="21" t="s">
        <v>116</v>
      </c>
      <c r="G60" s="21" t="s">
        <v>110</v>
      </c>
      <c r="H60" s="21" t="s">
        <v>126</v>
      </c>
      <c r="I60" s="21"/>
      <c r="J60" s="21" t="str">
        <f t="shared" si="1"/>
        <v/>
      </c>
      <c r="K60" s="24"/>
      <c r="L60" s="21"/>
      <c r="M60" s="21"/>
      <c r="N60" s="21"/>
      <c r="O60" s="21"/>
      <c r="P60" s="24"/>
      <c r="Q60" s="21"/>
    </row>
    <row r="61" spans="1:17" ht="58.05" customHeight="1">
      <c r="A61" s="21" t="s">
        <v>25</v>
      </c>
      <c r="B61" s="21" t="s">
        <v>304</v>
      </c>
      <c r="C61" s="21" t="s">
        <v>305</v>
      </c>
      <c r="D61" s="21" t="s">
        <v>306</v>
      </c>
      <c r="E61" s="21" t="s">
        <v>307</v>
      </c>
      <c r="F61" s="21" t="s">
        <v>81</v>
      </c>
      <c r="G61" s="21" t="s">
        <v>121</v>
      </c>
      <c r="H61" s="21" t="s">
        <v>126</v>
      </c>
      <c r="I61" s="21"/>
      <c r="J61" s="21" t="str">
        <f t="shared" si="1"/>
        <v/>
      </c>
      <c r="K61" s="24"/>
      <c r="L61" s="21"/>
      <c r="M61" s="21"/>
      <c r="N61" s="21"/>
      <c r="O61" s="21"/>
      <c r="P61" s="24"/>
      <c r="Q61" s="21"/>
    </row>
    <row r="62" spans="1:17" ht="58.05" customHeight="1">
      <c r="A62" s="21" t="s">
        <v>25</v>
      </c>
      <c r="B62" s="21" t="s">
        <v>308</v>
      </c>
      <c r="C62" s="21" t="s">
        <v>309</v>
      </c>
      <c r="D62" s="21" t="s">
        <v>310</v>
      </c>
      <c r="E62" s="21" t="s">
        <v>311</v>
      </c>
      <c r="F62" s="21" t="s">
        <v>81</v>
      </c>
      <c r="G62" s="21" t="s">
        <v>110</v>
      </c>
      <c r="H62" s="21" t="s">
        <v>126</v>
      </c>
      <c r="I62" s="21"/>
      <c r="J62" s="21" t="str">
        <f t="shared" si="1"/>
        <v/>
      </c>
      <c r="K62" s="24"/>
      <c r="L62" s="21"/>
      <c r="M62" s="21"/>
      <c r="N62" s="21"/>
      <c r="O62" s="21"/>
      <c r="P62" s="24"/>
      <c r="Q62" s="21"/>
    </row>
    <row r="63" spans="1:17" ht="58.05" customHeight="1">
      <c r="A63" s="21" t="s">
        <v>25</v>
      </c>
      <c r="B63" s="21" t="s">
        <v>312</v>
      </c>
      <c r="C63" s="21" t="s">
        <v>313</v>
      </c>
      <c r="D63" s="21" t="s">
        <v>314</v>
      </c>
      <c r="E63" s="21" t="s">
        <v>315</v>
      </c>
      <c r="F63" s="21" t="s">
        <v>131</v>
      </c>
      <c r="G63" s="21" t="s">
        <v>110</v>
      </c>
      <c r="H63" s="21" t="s">
        <v>126</v>
      </c>
      <c r="I63" s="21"/>
      <c r="J63" s="21" t="str">
        <f t="shared" si="1"/>
        <v/>
      </c>
      <c r="K63" s="24"/>
      <c r="L63" s="21"/>
      <c r="M63" s="21"/>
      <c r="N63" s="21"/>
      <c r="O63" s="21"/>
      <c r="P63" s="24"/>
      <c r="Q63" s="21"/>
    </row>
    <row r="64" spans="1:17" ht="58.05" customHeight="1">
      <c r="A64" s="21" t="s">
        <v>25</v>
      </c>
      <c r="B64" s="21" t="s">
        <v>316</v>
      </c>
      <c r="C64" s="21" t="s">
        <v>317</v>
      </c>
      <c r="D64" s="21" t="s">
        <v>318</v>
      </c>
      <c r="E64" s="21" t="s">
        <v>311</v>
      </c>
      <c r="F64" s="21" t="s">
        <v>131</v>
      </c>
      <c r="G64" s="21" t="s">
        <v>192</v>
      </c>
      <c r="H64" s="21" t="s">
        <v>126</v>
      </c>
      <c r="I64" s="21"/>
      <c r="J64" s="21" t="str">
        <f t="shared" si="1"/>
        <v/>
      </c>
      <c r="K64" s="24"/>
      <c r="L64" s="21"/>
      <c r="M64" s="21"/>
      <c r="N64" s="21"/>
      <c r="O64" s="21"/>
      <c r="P64" s="24"/>
      <c r="Q64" s="21"/>
    </row>
    <row r="65" spans="1:17" ht="58.05" customHeight="1">
      <c r="A65" s="21" t="s">
        <v>25</v>
      </c>
      <c r="B65" s="21" t="s">
        <v>319</v>
      </c>
      <c r="C65" s="21" t="s">
        <v>320</v>
      </c>
      <c r="D65" s="21" t="s">
        <v>321</v>
      </c>
      <c r="E65" s="21" t="s">
        <v>322</v>
      </c>
      <c r="F65" s="21" t="s">
        <v>81</v>
      </c>
      <c r="G65" s="21" t="s">
        <v>110</v>
      </c>
      <c r="H65" s="21" t="s">
        <v>126</v>
      </c>
      <c r="I65" s="21"/>
      <c r="J65" s="21" t="str">
        <f t="shared" si="1"/>
        <v/>
      </c>
      <c r="K65" s="24"/>
      <c r="L65" s="21"/>
      <c r="M65" s="21"/>
      <c r="N65" s="21"/>
      <c r="O65" s="21"/>
      <c r="P65" s="24"/>
      <c r="Q65" s="21"/>
    </row>
    <row r="66" spans="1:17" ht="58.05" customHeight="1">
      <c r="A66" s="21" t="s">
        <v>25</v>
      </c>
      <c r="B66" s="21" t="s">
        <v>323</v>
      </c>
      <c r="C66" s="21" t="s">
        <v>324</v>
      </c>
      <c r="D66" s="21" t="s">
        <v>325</v>
      </c>
      <c r="E66" s="21" t="s">
        <v>326</v>
      </c>
      <c r="F66" s="21" t="s">
        <v>81</v>
      </c>
      <c r="G66" s="21" t="s">
        <v>110</v>
      </c>
      <c r="H66" s="21" t="s">
        <v>126</v>
      </c>
      <c r="I66" s="21"/>
      <c r="J66" s="21" t="str">
        <f t="shared" si="1"/>
        <v/>
      </c>
      <c r="K66" s="24"/>
      <c r="L66" s="21"/>
      <c r="M66" s="21"/>
      <c r="N66" s="21"/>
      <c r="O66" s="21"/>
      <c r="P66" s="24"/>
      <c r="Q66" s="21"/>
    </row>
    <row r="67" spans="1:17" ht="58.05" customHeight="1">
      <c r="A67" s="21" t="s">
        <v>25</v>
      </c>
      <c r="B67" s="21" t="s">
        <v>327</v>
      </c>
      <c r="C67" s="21" t="s">
        <v>328</v>
      </c>
      <c r="D67" s="21" t="s">
        <v>329</v>
      </c>
      <c r="E67" s="21" t="s">
        <v>330</v>
      </c>
      <c r="F67" s="21" t="s">
        <v>78</v>
      </c>
      <c r="G67" s="21" t="s">
        <v>110</v>
      </c>
      <c r="H67" s="21" t="s">
        <v>126</v>
      </c>
      <c r="I67" s="21"/>
      <c r="J67" s="21" t="str">
        <f t="shared" si="1"/>
        <v/>
      </c>
      <c r="K67" s="24"/>
      <c r="L67" s="21"/>
      <c r="M67" s="21"/>
      <c r="N67" s="21"/>
      <c r="O67" s="21"/>
      <c r="P67" s="24"/>
      <c r="Q67" s="21"/>
    </row>
    <row r="68" spans="1:17" ht="58.05" customHeight="1">
      <c r="A68" s="21" t="s">
        <v>26</v>
      </c>
      <c r="B68" s="21" t="s">
        <v>331</v>
      </c>
      <c r="C68" s="21" t="s">
        <v>332</v>
      </c>
      <c r="D68" s="21" t="s">
        <v>333</v>
      </c>
      <c r="E68" s="21" t="s">
        <v>334</v>
      </c>
      <c r="F68" s="21" t="s">
        <v>78</v>
      </c>
      <c r="G68" s="21" t="s">
        <v>121</v>
      </c>
      <c r="H68" s="21" t="s">
        <v>126</v>
      </c>
      <c r="I68" s="21"/>
      <c r="J68" s="21" t="str">
        <f t="shared" si="1"/>
        <v/>
      </c>
      <c r="K68" s="24"/>
      <c r="L68" s="21"/>
      <c r="M68" s="21"/>
      <c r="N68" s="21"/>
      <c r="O68" s="21"/>
      <c r="P68" s="24"/>
      <c r="Q68" s="21"/>
    </row>
    <row r="69" spans="1:17" ht="58.05" customHeight="1">
      <c r="A69" s="21" t="s">
        <v>26</v>
      </c>
      <c r="B69" s="21" t="s">
        <v>335</v>
      </c>
      <c r="C69" s="21" t="s">
        <v>336</v>
      </c>
      <c r="D69" s="21" t="s">
        <v>337</v>
      </c>
      <c r="E69" s="21" t="s">
        <v>338</v>
      </c>
      <c r="F69" s="21" t="s">
        <v>78</v>
      </c>
      <c r="G69" s="21" t="s">
        <v>110</v>
      </c>
      <c r="H69" s="21" t="s">
        <v>126</v>
      </c>
      <c r="I69" s="21"/>
      <c r="J69" s="21" t="str">
        <f t="shared" si="1"/>
        <v/>
      </c>
      <c r="K69" s="24"/>
      <c r="L69" s="21"/>
      <c r="M69" s="21"/>
      <c r="N69" s="21"/>
      <c r="O69" s="21"/>
      <c r="P69" s="24"/>
      <c r="Q69" s="21"/>
    </row>
    <row r="70" spans="1:17" ht="58.05" customHeight="1">
      <c r="A70" s="21" t="s">
        <v>26</v>
      </c>
      <c r="B70" s="21" t="s">
        <v>339</v>
      </c>
      <c r="C70" s="21" t="s">
        <v>340</v>
      </c>
      <c r="D70" s="21" t="s">
        <v>341</v>
      </c>
      <c r="E70" s="21" t="s">
        <v>342</v>
      </c>
      <c r="F70" s="21" t="s">
        <v>38</v>
      </c>
      <c r="G70" s="21" t="s">
        <v>121</v>
      </c>
      <c r="H70" s="21" t="s">
        <v>126</v>
      </c>
      <c r="I70" s="21"/>
      <c r="J70" s="21" t="str">
        <f t="shared" si="1"/>
        <v/>
      </c>
      <c r="K70" s="24"/>
      <c r="L70" s="21"/>
      <c r="M70" s="21"/>
      <c r="N70" s="21"/>
      <c r="O70" s="21"/>
      <c r="P70" s="24"/>
      <c r="Q70" s="21"/>
    </row>
    <row r="71" spans="1:17" ht="58.05" customHeight="1">
      <c r="A71" s="21" t="s">
        <v>26</v>
      </c>
      <c r="B71" s="21" t="s">
        <v>343</v>
      </c>
      <c r="C71" s="21" t="s">
        <v>344</v>
      </c>
      <c r="D71" s="21" t="s">
        <v>345</v>
      </c>
      <c r="E71" s="21" t="s">
        <v>346</v>
      </c>
      <c r="F71" s="21" t="s">
        <v>38</v>
      </c>
      <c r="G71" s="21" t="s">
        <v>121</v>
      </c>
      <c r="H71" s="21" t="s">
        <v>126</v>
      </c>
      <c r="I71" s="21"/>
      <c r="J71" s="21" t="str">
        <f t="shared" si="1"/>
        <v/>
      </c>
      <c r="K71" s="24"/>
      <c r="L71" s="21"/>
      <c r="M71" s="21"/>
      <c r="N71" s="21"/>
      <c r="O71" s="21"/>
      <c r="P71" s="24"/>
      <c r="Q71" s="21"/>
    </row>
    <row r="72" spans="1:17" ht="58.05" customHeight="1">
      <c r="A72" s="21" t="s">
        <v>26</v>
      </c>
      <c r="B72" s="21" t="s">
        <v>347</v>
      </c>
      <c r="C72" s="21" t="s">
        <v>348</v>
      </c>
      <c r="D72" s="21" t="s">
        <v>349</v>
      </c>
      <c r="E72" s="21" t="s">
        <v>350</v>
      </c>
      <c r="F72" s="21" t="s">
        <v>78</v>
      </c>
      <c r="G72" s="21" t="s">
        <v>110</v>
      </c>
      <c r="H72" s="21" t="s">
        <v>126</v>
      </c>
      <c r="I72" s="21"/>
      <c r="J72" s="21" t="str">
        <f t="shared" si="1"/>
        <v/>
      </c>
      <c r="K72" s="24"/>
      <c r="L72" s="21"/>
      <c r="M72" s="21"/>
      <c r="N72" s="21"/>
      <c r="O72" s="21"/>
      <c r="P72" s="24"/>
      <c r="Q72" s="21"/>
    </row>
    <row r="73" spans="1:17" ht="58.05" customHeight="1">
      <c r="A73" s="21" t="s">
        <v>26</v>
      </c>
      <c r="B73" s="21" t="s">
        <v>351</v>
      </c>
      <c r="C73" s="21" t="s">
        <v>352</v>
      </c>
      <c r="D73" s="21" t="s">
        <v>353</v>
      </c>
      <c r="E73" s="21" t="s">
        <v>354</v>
      </c>
      <c r="F73" s="21" t="s">
        <v>38</v>
      </c>
      <c r="G73" s="21" t="s">
        <v>110</v>
      </c>
      <c r="H73" s="21" t="s">
        <v>126</v>
      </c>
      <c r="I73" s="21"/>
      <c r="J73" s="21" t="str">
        <f t="shared" si="1"/>
        <v/>
      </c>
      <c r="K73" s="24"/>
      <c r="L73" s="21"/>
      <c r="M73" s="21"/>
      <c r="N73" s="21"/>
      <c r="O73" s="21"/>
      <c r="P73" s="24"/>
      <c r="Q73" s="21"/>
    </row>
    <row r="74" spans="1:17" ht="58.05" customHeight="1">
      <c r="A74" s="21" t="s">
        <v>26</v>
      </c>
      <c r="B74" s="21" t="s">
        <v>355</v>
      </c>
      <c r="C74" s="21" t="s">
        <v>356</v>
      </c>
      <c r="D74" s="21" t="s">
        <v>357</v>
      </c>
      <c r="E74" s="21" t="s">
        <v>358</v>
      </c>
      <c r="F74" s="21" t="s">
        <v>34</v>
      </c>
      <c r="G74" s="21" t="s">
        <v>110</v>
      </c>
      <c r="H74" s="21" t="s">
        <v>126</v>
      </c>
      <c r="I74" s="21"/>
      <c r="J74" s="21" t="str">
        <f t="shared" si="1"/>
        <v/>
      </c>
      <c r="K74" s="24"/>
      <c r="L74" s="21"/>
      <c r="M74" s="21"/>
      <c r="N74" s="21"/>
      <c r="O74" s="21"/>
      <c r="P74" s="24"/>
      <c r="Q74" s="21"/>
    </row>
    <row r="75" spans="1:17" ht="58.05" customHeight="1">
      <c r="A75" s="21" t="s">
        <v>26</v>
      </c>
      <c r="B75" s="21" t="s">
        <v>359</v>
      </c>
      <c r="C75" s="21" t="s">
        <v>360</v>
      </c>
      <c r="D75" s="21" t="s">
        <v>361</v>
      </c>
      <c r="E75" s="21" t="s">
        <v>362</v>
      </c>
      <c r="F75" s="21" t="s">
        <v>81</v>
      </c>
      <c r="G75" s="21" t="s">
        <v>110</v>
      </c>
      <c r="H75" s="21" t="s">
        <v>126</v>
      </c>
      <c r="I75" s="21"/>
      <c r="J75" s="21" t="str">
        <f t="shared" si="1"/>
        <v/>
      </c>
      <c r="K75" s="24"/>
      <c r="L75" s="21"/>
      <c r="M75" s="21"/>
      <c r="N75" s="21"/>
      <c r="O75" s="21"/>
      <c r="P75" s="24"/>
      <c r="Q75" s="21"/>
    </row>
    <row r="76" spans="1:17" ht="58.05" customHeight="1">
      <c r="A76" s="22" t="s">
        <v>26</v>
      </c>
      <c r="B76" s="22" t="s">
        <v>363</v>
      </c>
      <c r="C76" s="22" t="s">
        <v>364</v>
      </c>
      <c r="D76" s="22" t="s">
        <v>365</v>
      </c>
      <c r="E76" s="22" t="s">
        <v>366</v>
      </c>
      <c r="F76" s="22" t="s">
        <v>38</v>
      </c>
      <c r="G76" s="22" t="s">
        <v>121</v>
      </c>
      <c r="H76" s="22" t="s">
        <v>126</v>
      </c>
      <c r="I76" s="22"/>
      <c r="J76" s="22" t="str">
        <f t="shared" si="1"/>
        <v/>
      </c>
      <c r="K76" s="25"/>
      <c r="L76" s="22"/>
      <c r="M76" s="22"/>
      <c r="N76" s="22"/>
      <c r="O76" s="22"/>
      <c r="P76" s="25"/>
      <c r="Q76" s="22"/>
    </row>
  </sheetData>
  <mergeCells count="24">
    <mergeCell ref="C1:Q1"/>
    <mergeCell ref="C2:Q2"/>
    <mergeCell ref="A3:D3"/>
    <mergeCell ref="E3:H3"/>
    <mergeCell ref="I3:L3"/>
    <mergeCell ref="M3:Q3"/>
    <mergeCell ref="A4:D4"/>
    <mergeCell ref="E4:H4"/>
    <mergeCell ref="I4:L4"/>
    <mergeCell ref="M4:Q4"/>
    <mergeCell ref="A6:Q6"/>
    <mergeCell ref="A10:Q10"/>
    <mergeCell ref="P7:Q7"/>
    <mergeCell ref="A8:B9"/>
    <mergeCell ref="D8:E9"/>
    <mergeCell ref="G8:H9"/>
    <mergeCell ref="J8:K9"/>
    <mergeCell ref="M8:N9"/>
    <mergeCell ref="P8:Q9"/>
    <mergeCell ref="A7:B7"/>
    <mergeCell ref="D7:E7"/>
    <mergeCell ref="G7:H7"/>
    <mergeCell ref="J7:K7"/>
    <mergeCell ref="M7:N7"/>
  </mergeCells>
  <conditionalFormatting sqref="G13:G76">
    <cfRule type="cellIs" dxfId="12" priority="5" operator="equal">
      <formula>"Highest"</formula>
    </cfRule>
    <cfRule type="cellIs" dxfId="11" priority="6" operator="equal">
      <formula>"High"</formula>
    </cfRule>
    <cfRule type="cellIs" dxfId="10" priority="7" operator="equal">
      <formula>"Low"</formula>
    </cfRule>
    <cfRule type="cellIs" dxfId="9" priority="8" operator="equal">
      <formula>"Lowest"</formula>
    </cfRule>
  </conditionalFormatting>
  <conditionalFormatting sqref="I13:I76">
    <cfRule type="containsText" dxfId="8" priority="1" operator="containsText" text="Cumple parcialmente"/>
    <cfRule type="containsText" dxfId="7" priority="2" operator="containsText" text="No cumple"/>
    <cfRule type="containsText" dxfId="6" priority="3" operator="containsText" text="No aplica"/>
    <cfRule type="cellIs" dxfId="5" priority="4" operator="equal">
      <formula>"Cumple"</formula>
    </cfRule>
  </conditionalFormatting>
  <conditionalFormatting sqref="J13:J76">
    <cfRule type="dataBar" priority="9">
      <dataBar>
        <cfvo type="min"/>
        <cfvo type="max"/>
        <color rgb="FFC92351"/>
      </dataBar>
    </cfRule>
    <cfRule type="dataBar" priority="15">
      <dataBar>
        <cfvo type="min"/>
        <cfvo type="max"/>
        <color rgb="FFC92351"/>
      </dataBar>
    </cfRule>
    <cfRule type="dataBar" priority="16">
      <dataBar>
        <cfvo type="min"/>
        <cfvo type="max"/>
        <color rgb="FFC92351"/>
      </dataBar>
      <extLst>
        <ext xmlns:x14="http://schemas.microsoft.com/office/spreadsheetml/2009/9/main" uri="{B025F937-C7B1-47D3-B67F-A62EFF666E3E}">
          <x14:id>{4F8A019A-1916-7CFA-49D1-4BBAD61FE0FD}</x14:id>
        </ext>
      </extLst>
    </cfRule>
  </conditionalFormatting>
  <conditionalFormatting sqref="P13:P76">
    <cfRule type="expression" dxfId="4" priority="10">
      <formula>AND($P13&lt;TODAY(),$P13&lt;&gt;"",$Q13&lt;&gt;"Corregida",$Q13&lt;&gt;"Aceptada",$Q13&lt;&gt;"No requerida")</formula>
    </cfRule>
  </conditionalFormatting>
  <conditionalFormatting sqref="P8:Q9">
    <cfRule type="containsText" dxfId="3" priority="11" operator="containsText" text="APROBADO"/>
    <cfRule type="containsText" dxfId="2" priority="12" operator="containsText" text="NO APROBADO"/>
    <cfRule type="containsText" dxfId="1" priority="13" operator="containsText" text="REQUIERE MEJORAS"/>
    <cfRule type="containsText" dxfId="0" priority="14" operator="containsText" text="PENDIENTE"/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8A019A-1916-7CFA-49D1-4BBAD61FE0FD}">
            <x14:dataBar>
              <x14:cfvo type="min"/>
              <x14:cfvo type="max"/>
              <x14:negativeFillColor auto="1"/>
              <x14:axisColor auto="1"/>
            </x14:dataBar>
          </x14:cfRule>
          <xm:sqref>J13:J76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F8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5" width="26" customWidth="1"/>
    <col min="6" max="6" width="44" customWidth="1"/>
  </cols>
  <sheetData>
    <row r="1" spans="1:6">
      <c r="A1" s="3" t="s">
        <v>96</v>
      </c>
      <c r="B1" s="4" t="s">
        <v>97</v>
      </c>
      <c r="C1" s="4" t="s">
        <v>3</v>
      </c>
      <c r="D1" s="4" t="s">
        <v>105</v>
      </c>
      <c r="E1" s="4" t="s">
        <v>367</v>
      </c>
      <c r="F1" s="5" t="s">
        <v>368</v>
      </c>
    </row>
    <row r="2" spans="1:6">
      <c r="A2" s="6" t="s">
        <v>121</v>
      </c>
      <c r="B2" s="7" t="s">
        <v>126</v>
      </c>
      <c r="C2" s="7" t="s">
        <v>7</v>
      </c>
      <c r="D2" s="7" t="s">
        <v>369</v>
      </c>
      <c r="E2" s="7" t="s">
        <v>78</v>
      </c>
      <c r="F2" s="8" t="s">
        <v>370</v>
      </c>
    </row>
    <row r="3" spans="1:6">
      <c r="A3" s="6" t="s">
        <v>110</v>
      </c>
      <c r="B3" s="7" t="s">
        <v>371</v>
      </c>
      <c r="C3" s="7" t="s">
        <v>372</v>
      </c>
      <c r="D3" s="7" t="s">
        <v>126</v>
      </c>
      <c r="E3" s="7" t="s">
        <v>38</v>
      </c>
      <c r="F3" s="8" t="s">
        <v>373</v>
      </c>
    </row>
    <row r="4" spans="1:6">
      <c r="A4" s="6" t="s">
        <v>192</v>
      </c>
      <c r="B4" s="7" t="s">
        <v>111</v>
      </c>
      <c r="C4" s="7" t="s">
        <v>9</v>
      </c>
      <c r="D4" s="7" t="s">
        <v>374</v>
      </c>
      <c r="E4" s="7" t="s">
        <v>81</v>
      </c>
      <c r="F4" s="8"/>
    </row>
    <row r="5" spans="1:6">
      <c r="A5" s="6" t="s">
        <v>375</v>
      </c>
      <c r="B5" s="7"/>
      <c r="C5" s="7" t="s">
        <v>376</v>
      </c>
      <c r="D5" s="7" t="s">
        <v>377</v>
      </c>
      <c r="E5" s="7" t="s">
        <v>116</v>
      </c>
      <c r="F5" s="8"/>
    </row>
    <row r="6" spans="1:6">
      <c r="A6" s="6"/>
      <c r="B6" s="7"/>
      <c r="C6" s="7"/>
      <c r="D6" s="7" t="s">
        <v>378</v>
      </c>
      <c r="E6" s="7" t="s">
        <v>131</v>
      </c>
      <c r="F6" s="8"/>
    </row>
    <row r="7" spans="1:6">
      <c r="A7" s="6"/>
      <c r="B7" s="7"/>
      <c r="C7" s="7"/>
      <c r="D7" s="7"/>
      <c r="E7" s="7" t="s">
        <v>34</v>
      </c>
      <c r="F7" s="8"/>
    </row>
    <row r="8" spans="1:6">
      <c r="A8" s="9"/>
      <c r="B8" s="10"/>
      <c r="C8" s="10"/>
      <c r="D8" s="10"/>
      <c r="E8" s="10" t="s">
        <v>379</v>
      </c>
      <c r="F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3966"/>
  </sheetPr>
  <dimension ref="A1:H22"/>
  <sheetViews>
    <sheetView showGridLines="0" workbookViewId="0">
      <pane ySplit="7" topLeftCell="A8" activePane="bottomLeft" state="frozen"/>
      <selection pane="bottomLeft" sqref="A1:H1"/>
    </sheetView>
  </sheetViews>
  <sheetFormatPr baseColWidth="10" defaultColWidth="8.796875" defaultRowHeight="13.8"/>
  <cols>
    <col min="1" max="1" width="7" customWidth="1"/>
    <col min="2" max="3" width="18" customWidth="1"/>
    <col min="4" max="4" width="34" customWidth="1"/>
    <col min="5" max="5" width="36" customWidth="1"/>
    <col min="6" max="6" width="24" customWidth="1"/>
    <col min="7" max="7" width="32" customWidth="1"/>
    <col min="8" max="8" width="24" customWidth="1"/>
  </cols>
  <sheetData>
    <row r="1" spans="1:8" ht="28.05" customHeight="1">
      <c r="A1" s="46" t="s">
        <v>0</v>
      </c>
      <c r="B1" s="46"/>
      <c r="C1" s="46"/>
      <c r="D1" s="46"/>
      <c r="E1" s="46"/>
      <c r="F1" s="46"/>
      <c r="G1" s="46"/>
      <c r="H1" s="46"/>
    </row>
    <row r="2" spans="1:8" ht="25.95" customHeight="1">
      <c r="A2" s="46" t="s">
        <v>385</v>
      </c>
      <c r="B2" s="46"/>
      <c r="C2" s="46"/>
      <c r="D2" s="46"/>
      <c r="E2" s="46"/>
      <c r="F2" s="46"/>
      <c r="G2" s="46"/>
      <c r="H2" s="46"/>
    </row>
    <row r="3" spans="1:8" ht="22.05" customHeight="1">
      <c r="A3" s="47" t="s">
        <v>386</v>
      </c>
      <c r="B3" s="47"/>
      <c r="C3" s="47"/>
      <c r="D3" s="47"/>
      <c r="E3" s="47"/>
      <c r="F3" s="47"/>
      <c r="G3" s="47"/>
      <c r="H3" s="47"/>
    </row>
    <row r="5" spans="1:8" ht="37.950000000000003" customHeight="1">
      <c r="A5" s="48" t="s">
        <v>387</v>
      </c>
      <c r="B5" s="48"/>
      <c r="C5" s="48"/>
      <c r="D5" s="48"/>
      <c r="E5" s="48"/>
      <c r="F5" s="48"/>
      <c r="G5" s="48"/>
      <c r="H5" s="48"/>
    </row>
    <row r="7" spans="1:8" ht="34.049999999999997" customHeight="1">
      <c r="A7" s="39" t="s">
        <v>388</v>
      </c>
      <c r="B7" s="49" t="s">
        <v>389</v>
      </c>
      <c r="C7" s="49"/>
      <c r="D7" s="39" t="s">
        <v>390</v>
      </c>
      <c r="E7" s="39" t="s">
        <v>391</v>
      </c>
      <c r="F7" s="39" t="s">
        <v>392</v>
      </c>
      <c r="G7" s="39" t="s">
        <v>393</v>
      </c>
      <c r="H7" s="39" t="s">
        <v>394</v>
      </c>
    </row>
    <row r="8" spans="1:8" ht="54" customHeight="1">
      <c r="A8" s="41">
        <v>1</v>
      </c>
      <c r="B8" s="44" t="s">
        <v>395</v>
      </c>
      <c r="C8" s="44"/>
      <c r="D8" s="40" t="s">
        <v>396</v>
      </c>
      <c r="E8" s="40" t="s">
        <v>397</v>
      </c>
      <c r="F8" s="41" t="s">
        <v>398</v>
      </c>
      <c r="G8" s="40" t="s">
        <v>399</v>
      </c>
      <c r="H8" s="40" t="s">
        <v>400</v>
      </c>
    </row>
    <row r="9" spans="1:8" ht="54" customHeight="1">
      <c r="A9" s="43">
        <v>2</v>
      </c>
      <c r="B9" s="45" t="s">
        <v>401</v>
      </c>
      <c r="C9" s="45"/>
      <c r="D9" s="42" t="s">
        <v>402</v>
      </c>
      <c r="E9" s="42" t="s">
        <v>403</v>
      </c>
      <c r="F9" s="43" t="s">
        <v>404</v>
      </c>
      <c r="G9" s="42" t="s">
        <v>405</v>
      </c>
      <c r="H9" s="42" t="s">
        <v>406</v>
      </c>
    </row>
    <row r="10" spans="1:8" ht="54" customHeight="1">
      <c r="A10" s="41">
        <v>3</v>
      </c>
      <c r="B10" s="44" t="s">
        <v>407</v>
      </c>
      <c r="C10" s="44"/>
      <c r="D10" s="40" t="s">
        <v>408</v>
      </c>
      <c r="E10" s="40" t="s">
        <v>409</v>
      </c>
      <c r="F10" s="41" t="s">
        <v>410</v>
      </c>
      <c r="G10" s="40" t="s">
        <v>411</v>
      </c>
      <c r="H10" s="40" t="s">
        <v>412</v>
      </c>
    </row>
    <row r="11" spans="1:8" ht="54" customHeight="1">
      <c r="A11" s="43">
        <v>4</v>
      </c>
      <c r="B11" s="45" t="s">
        <v>413</v>
      </c>
      <c r="C11" s="45"/>
      <c r="D11" s="42" t="s">
        <v>414</v>
      </c>
      <c r="E11" s="42" t="s">
        <v>415</v>
      </c>
      <c r="F11" s="43" t="s">
        <v>416</v>
      </c>
      <c r="G11" s="42" t="s">
        <v>417</v>
      </c>
      <c r="H11" s="42" t="s">
        <v>418</v>
      </c>
    </row>
    <row r="12" spans="1:8" ht="54" customHeight="1">
      <c r="A12" s="41">
        <v>5</v>
      </c>
      <c r="B12" s="44" t="s">
        <v>419</v>
      </c>
      <c r="C12" s="44"/>
      <c r="D12" s="40" t="s">
        <v>420</v>
      </c>
      <c r="E12" s="40" t="s">
        <v>421</v>
      </c>
      <c r="F12" s="41" t="s">
        <v>422</v>
      </c>
      <c r="G12" s="40" t="s">
        <v>423</v>
      </c>
      <c r="H12" s="40" t="s">
        <v>424</v>
      </c>
    </row>
    <row r="13" spans="1:8" ht="54" customHeight="1">
      <c r="A13" s="43">
        <v>6</v>
      </c>
      <c r="B13" s="45" t="s">
        <v>425</v>
      </c>
      <c r="C13" s="45"/>
      <c r="D13" s="42" t="s">
        <v>426</v>
      </c>
      <c r="E13" s="42" t="s">
        <v>427</v>
      </c>
      <c r="F13" s="43" t="s">
        <v>428</v>
      </c>
      <c r="G13" s="42" t="s">
        <v>429</v>
      </c>
      <c r="H13" s="42" t="s">
        <v>430</v>
      </c>
    </row>
    <row r="14" spans="1:8" ht="54" customHeight="1">
      <c r="A14" s="41">
        <v>7</v>
      </c>
      <c r="B14" s="44" t="s">
        <v>431</v>
      </c>
      <c r="C14" s="44"/>
      <c r="D14" s="40" t="s">
        <v>432</v>
      </c>
      <c r="E14" s="40" t="s">
        <v>433</v>
      </c>
      <c r="F14" s="41" t="s">
        <v>434</v>
      </c>
      <c r="G14" s="40" t="s">
        <v>435</v>
      </c>
      <c r="H14" s="40" t="s">
        <v>436</v>
      </c>
    </row>
    <row r="15" spans="1:8" ht="54" customHeight="1">
      <c r="A15" s="43">
        <v>8</v>
      </c>
      <c r="B15" s="45" t="s">
        <v>437</v>
      </c>
      <c r="C15" s="45"/>
      <c r="D15" s="42" t="s">
        <v>438</v>
      </c>
      <c r="E15" s="42" t="s">
        <v>439</v>
      </c>
      <c r="F15" s="43" t="s">
        <v>410</v>
      </c>
      <c r="G15" s="42" t="s">
        <v>440</v>
      </c>
      <c r="H15" s="42" t="s">
        <v>441</v>
      </c>
    </row>
    <row r="16" spans="1:8" ht="54" customHeight="1">
      <c r="A16" s="41">
        <v>9</v>
      </c>
      <c r="B16" s="44" t="s">
        <v>442</v>
      </c>
      <c r="C16" s="44"/>
      <c r="D16" s="40" t="s">
        <v>443</v>
      </c>
      <c r="E16" s="40" t="s">
        <v>444</v>
      </c>
      <c r="F16" s="41" t="s">
        <v>445</v>
      </c>
      <c r="G16" s="40" t="s">
        <v>446</v>
      </c>
      <c r="H16" s="40" t="s">
        <v>447</v>
      </c>
    </row>
    <row r="17" spans="1:8" ht="54" customHeight="1">
      <c r="A17" s="43">
        <v>10</v>
      </c>
      <c r="B17" s="45" t="s">
        <v>448</v>
      </c>
      <c r="C17" s="45"/>
      <c r="D17" s="42" t="s">
        <v>449</v>
      </c>
      <c r="E17" s="42" t="s">
        <v>450</v>
      </c>
      <c r="F17" s="43" t="s">
        <v>451</v>
      </c>
      <c r="G17" s="42" t="s">
        <v>452</v>
      </c>
      <c r="H17" s="42" t="s">
        <v>453</v>
      </c>
    </row>
    <row r="18" spans="1:8" ht="54" customHeight="1">
      <c r="A18" s="41">
        <v>11</v>
      </c>
      <c r="B18" s="44" t="s">
        <v>454</v>
      </c>
      <c r="C18" s="44"/>
      <c r="D18" s="40" t="s">
        <v>455</v>
      </c>
      <c r="E18" s="40" t="s">
        <v>456</v>
      </c>
      <c r="F18" s="41" t="s">
        <v>457</v>
      </c>
      <c r="G18" s="40" t="s">
        <v>458</v>
      </c>
      <c r="H18" s="40" t="s">
        <v>459</v>
      </c>
    </row>
    <row r="19" spans="1:8" ht="54" customHeight="1">
      <c r="A19" s="43">
        <v>12</v>
      </c>
      <c r="B19" s="45" t="s">
        <v>460</v>
      </c>
      <c r="C19" s="45"/>
      <c r="D19" s="42" t="s">
        <v>461</v>
      </c>
      <c r="E19" s="42" t="s">
        <v>462</v>
      </c>
      <c r="F19" s="43" t="s">
        <v>463</v>
      </c>
      <c r="G19" s="42" t="s">
        <v>464</v>
      </c>
      <c r="H19" s="42" t="s">
        <v>465</v>
      </c>
    </row>
    <row r="20" spans="1:8" ht="54" customHeight="1">
      <c r="A20" s="41">
        <v>13</v>
      </c>
      <c r="B20" s="44" t="s">
        <v>466</v>
      </c>
      <c r="C20" s="44"/>
      <c r="D20" s="40" t="s">
        <v>467</v>
      </c>
      <c r="E20" s="40" t="s">
        <v>468</v>
      </c>
      <c r="F20" s="41" t="s">
        <v>451</v>
      </c>
      <c r="G20" s="40" t="s">
        <v>469</v>
      </c>
      <c r="H20" s="40" t="s">
        <v>470</v>
      </c>
    </row>
    <row r="21" spans="1:8" ht="54" customHeight="1">
      <c r="A21" s="43">
        <v>14</v>
      </c>
      <c r="B21" s="45" t="s">
        <v>471</v>
      </c>
      <c r="C21" s="45"/>
      <c r="D21" s="42" t="s">
        <v>472</v>
      </c>
      <c r="E21" s="42" t="s">
        <v>473</v>
      </c>
      <c r="F21" s="43" t="s">
        <v>474</v>
      </c>
      <c r="G21" s="42" t="s">
        <v>475</v>
      </c>
      <c r="H21" s="42" t="s">
        <v>471</v>
      </c>
    </row>
    <row r="22" spans="1:8" ht="54" customHeight="1">
      <c r="A22" s="41">
        <v>15</v>
      </c>
      <c r="B22" s="44" t="s">
        <v>476</v>
      </c>
      <c r="C22" s="44"/>
      <c r="D22" s="40" t="s">
        <v>477</v>
      </c>
      <c r="E22" s="40" t="s">
        <v>478</v>
      </c>
      <c r="F22" s="41" t="s">
        <v>463</v>
      </c>
      <c r="G22" s="40" t="s">
        <v>479</v>
      </c>
      <c r="H22" s="40" t="s">
        <v>480</v>
      </c>
    </row>
  </sheetData>
  <mergeCells count="20">
    <mergeCell ref="A1:H1"/>
    <mergeCell ref="A2:H2"/>
    <mergeCell ref="A3:H3"/>
    <mergeCell ref="A5:H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Matriz de calidad</vt:lpstr>
      <vt:lpstr>Catálogos</vt:lpstr>
      <vt:lpstr>Métricas de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2026-10-01T21:08:36Z</dcterms:modified>
</cp:coreProperties>
</file>