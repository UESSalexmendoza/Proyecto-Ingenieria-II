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exMendoza\Downloads\"/>
    </mc:Choice>
  </mc:AlternateContent>
  <xr:revisionPtr revIDLastSave="0" documentId="8_{5FC87921-6656-4A20-AAB2-37BA64BA6517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Resumen" sheetId="1" r:id="rId1"/>
    <sheet name="Matriz de riesgos" sheetId="2" r:id="rId2"/>
    <sheet name="Catálogo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6" i="2" l="1"/>
  <c r="T66" i="2" s="1"/>
  <c r="G66" i="2"/>
  <c r="H66" i="2" s="1"/>
  <c r="I66" i="2" s="1"/>
  <c r="S65" i="2"/>
  <c r="T65" i="2" s="1"/>
  <c r="G65" i="2"/>
  <c r="H65" i="2" s="1"/>
  <c r="I65" i="2" s="1"/>
  <c r="S64" i="2"/>
  <c r="T64" i="2" s="1"/>
  <c r="G64" i="2"/>
  <c r="H64" i="2" s="1"/>
  <c r="I64" i="2" s="1"/>
  <c r="S63" i="2"/>
  <c r="T63" i="2" s="1"/>
  <c r="G63" i="2"/>
  <c r="H63" i="2" s="1"/>
  <c r="I63" i="2" s="1"/>
  <c r="S62" i="2"/>
  <c r="T62" i="2" s="1"/>
  <c r="G62" i="2"/>
  <c r="H62" i="2" s="1"/>
  <c r="I62" i="2" s="1"/>
  <c r="S61" i="2"/>
  <c r="T61" i="2" s="1"/>
  <c r="G61" i="2"/>
  <c r="H61" i="2" s="1"/>
  <c r="I61" i="2" s="1"/>
  <c r="S60" i="2"/>
  <c r="T60" i="2" s="1"/>
  <c r="G60" i="2"/>
  <c r="H60" i="2" s="1"/>
  <c r="I60" i="2" s="1"/>
  <c r="S59" i="2"/>
  <c r="T59" i="2" s="1"/>
  <c r="G59" i="2"/>
  <c r="H59" i="2" s="1"/>
  <c r="I59" i="2" s="1"/>
  <c r="S58" i="2"/>
  <c r="T58" i="2" s="1"/>
  <c r="G58" i="2"/>
  <c r="H58" i="2" s="1"/>
  <c r="I58" i="2" s="1"/>
  <c r="T57" i="2"/>
  <c r="S57" i="2"/>
  <c r="G57" i="2"/>
  <c r="H57" i="2" s="1"/>
  <c r="I57" i="2" s="1"/>
  <c r="S56" i="2"/>
  <c r="T56" i="2" s="1"/>
  <c r="G56" i="2"/>
  <c r="H56" i="2" s="1"/>
  <c r="I56" i="2" s="1"/>
  <c r="S55" i="2"/>
  <c r="T55" i="2" s="1"/>
  <c r="G55" i="2"/>
  <c r="H55" i="2" s="1"/>
  <c r="I55" i="2" s="1"/>
  <c r="S54" i="2"/>
  <c r="T54" i="2" s="1"/>
  <c r="G54" i="2"/>
  <c r="H54" i="2" s="1"/>
  <c r="I54" i="2" s="1"/>
  <c r="S53" i="2"/>
  <c r="T53" i="2" s="1"/>
  <c r="G53" i="2"/>
  <c r="H53" i="2" s="1"/>
  <c r="I53" i="2" s="1"/>
  <c r="S52" i="2"/>
  <c r="T52" i="2" s="1"/>
  <c r="G52" i="2"/>
  <c r="H52" i="2" s="1"/>
  <c r="I52" i="2" s="1"/>
  <c r="S51" i="2"/>
  <c r="T51" i="2" s="1"/>
  <c r="G51" i="2"/>
  <c r="H51" i="2" s="1"/>
  <c r="I51" i="2" s="1"/>
  <c r="S50" i="2"/>
  <c r="T50" i="2" s="1"/>
  <c r="G50" i="2"/>
  <c r="H50" i="2" s="1"/>
  <c r="I50" i="2" s="1"/>
  <c r="T49" i="2"/>
  <c r="S49" i="2"/>
  <c r="G49" i="2"/>
  <c r="H49" i="2" s="1"/>
  <c r="I49" i="2" s="1"/>
  <c r="S48" i="2"/>
  <c r="T48" i="2" s="1"/>
  <c r="G48" i="2"/>
  <c r="H48" i="2" s="1"/>
  <c r="I48" i="2" s="1"/>
  <c r="S47" i="2"/>
  <c r="T47" i="2" s="1"/>
  <c r="G47" i="2"/>
  <c r="H47" i="2" s="1"/>
  <c r="I47" i="2" s="1"/>
  <c r="S46" i="2"/>
  <c r="T46" i="2" s="1"/>
  <c r="G46" i="2"/>
  <c r="H46" i="2" s="1"/>
  <c r="I46" i="2" s="1"/>
  <c r="S45" i="2"/>
  <c r="T45" i="2" s="1"/>
  <c r="G45" i="2"/>
  <c r="H45" i="2" s="1"/>
  <c r="I45" i="2" s="1"/>
  <c r="S44" i="2"/>
  <c r="T44" i="2" s="1"/>
  <c r="G44" i="2"/>
  <c r="H44" i="2" s="1"/>
  <c r="I44" i="2" s="1"/>
  <c r="S43" i="2"/>
  <c r="T43" i="2" s="1"/>
  <c r="G43" i="2"/>
  <c r="H43" i="2" s="1"/>
  <c r="I43" i="2" s="1"/>
  <c r="S42" i="2"/>
  <c r="T42" i="2" s="1"/>
  <c r="G42" i="2"/>
  <c r="H42" i="2" s="1"/>
  <c r="I42" i="2" s="1"/>
  <c r="S41" i="2"/>
  <c r="T41" i="2" s="1"/>
  <c r="G41" i="2"/>
  <c r="H41" i="2" s="1"/>
  <c r="I41" i="2" s="1"/>
  <c r="S40" i="2"/>
  <c r="T40" i="2" s="1"/>
  <c r="G40" i="2"/>
  <c r="H40" i="2" s="1"/>
  <c r="I40" i="2" s="1"/>
  <c r="S39" i="2"/>
  <c r="T39" i="2" s="1"/>
  <c r="G39" i="2"/>
  <c r="H39" i="2" s="1"/>
  <c r="I39" i="2" s="1"/>
  <c r="S38" i="2"/>
  <c r="T38" i="2" s="1"/>
  <c r="G38" i="2"/>
  <c r="H38" i="2" s="1"/>
  <c r="I38" i="2" s="1"/>
  <c r="S37" i="2"/>
  <c r="T37" i="2" s="1"/>
  <c r="G37" i="2"/>
  <c r="H37" i="2" s="1"/>
  <c r="I37" i="2" s="1"/>
  <c r="S36" i="2"/>
  <c r="T36" i="2" s="1"/>
  <c r="G36" i="2"/>
  <c r="H36" i="2" s="1"/>
  <c r="I36" i="2" s="1"/>
  <c r="S35" i="2"/>
  <c r="T35" i="2" s="1"/>
  <c r="G35" i="2"/>
  <c r="H35" i="2" s="1"/>
  <c r="I35" i="2" s="1"/>
  <c r="S34" i="2"/>
  <c r="T34" i="2" s="1"/>
  <c r="G34" i="2"/>
  <c r="H34" i="2" s="1"/>
  <c r="I34" i="2" s="1"/>
  <c r="S33" i="2"/>
  <c r="T33" i="2" s="1"/>
  <c r="G33" i="2"/>
  <c r="S32" i="2"/>
  <c r="T32" i="2" s="1"/>
  <c r="G32" i="2"/>
  <c r="H32" i="2" s="1"/>
  <c r="I32" i="2" s="1"/>
  <c r="S31" i="2"/>
  <c r="T31" i="2" s="1"/>
  <c r="G31" i="2"/>
  <c r="H31" i="2" s="1"/>
  <c r="I31" i="2" s="1"/>
  <c r="S30" i="2"/>
  <c r="T30" i="2" s="1"/>
  <c r="G30" i="2"/>
  <c r="H30" i="2" s="1"/>
  <c r="I30" i="2" s="1"/>
  <c r="S29" i="2"/>
  <c r="T29" i="2" s="1"/>
  <c r="G29" i="2"/>
  <c r="H29" i="2" s="1"/>
  <c r="I29" i="2" s="1"/>
  <c r="S28" i="2"/>
  <c r="T28" i="2" s="1"/>
  <c r="G28" i="2"/>
  <c r="H28" i="2" s="1"/>
  <c r="I28" i="2" s="1"/>
  <c r="S27" i="2"/>
  <c r="T27" i="2" s="1"/>
  <c r="G27" i="2"/>
  <c r="H27" i="2" s="1"/>
  <c r="I27" i="2" s="1"/>
  <c r="S26" i="2"/>
  <c r="T26" i="2" s="1"/>
  <c r="G26" i="2"/>
  <c r="H26" i="2" s="1"/>
  <c r="I26" i="2" s="1"/>
  <c r="S25" i="2"/>
  <c r="T25" i="2" s="1"/>
  <c r="G25" i="2"/>
  <c r="H25" i="2" s="1"/>
  <c r="I25" i="2" s="1"/>
  <c r="S24" i="2"/>
  <c r="T24" i="2" s="1"/>
  <c r="G24" i="2"/>
  <c r="H24" i="2" s="1"/>
  <c r="I24" i="2" s="1"/>
  <c r="S23" i="2"/>
  <c r="T23" i="2" s="1"/>
  <c r="G23" i="2"/>
  <c r="H23" i="2" s="1"/>
  <c r="I23" i="2" s="1"/>
  <c r="S22" i="2"/>
  <c r="T22" i="2" s="1"/>
  <c r="G22" i="2"/>
  <c r="H22" i="2" s="1"/>
  <c r="I22" i="2" s="1"/>
  <c r="S21" i="2"/>
  <c r="T21" i="2" s="1"/>
  <c r="G21" i="2"/>
  <c r="H21" i="2" s="1"/>
  <c r="I21" i="2" s="1"/>
  <c r="S20" i="2"/>
  <c r="T20" i="2" s="1"/>
  <c r="G20" i="2"/>
  <c r="H20" i="2" s="1"/>
  <c r="I20" i="2" s="1"/>
  <c r="S19" i="2"/>
  <c r="T19" i="2" s="1"/>
  <c r="G19" i="2"/>
  <c r="H19" i="2" s="1"/>
  <c r="I19" i="2" s="1"/>
  <c r="S18" i="2"/>
  <c r="T18" i="2" s="1"/>
  <c r="H18" i="2"/>
  <c r="I18" i="2" s="1"/>
  <c r="G18" i="2"/>
  <c r="S17" i="2"/>
  <c r="T17" i="2" s="1"/>
  <c r="G17" i="2"/>
  <c r="H17" i="2" s="1"/>
  <c r="I17" i="2" s="1"/>
  <c r="S16" i="2"/>
  <c r="T16" i="2" s="1"/>
  <c r="G16" i="2"/>
  <c r="H16" i="2" s="1"/>
  <c r="I16" i="2" s="1"/>
  <c r="S15" i="2"/>
  <c r="T15" i="2" s="1"/>
  <c r="G15" i="2"/>
  <c r="H15" i="2" s="1"/>
  <c r="I15" i="2" s="1"/>
  <c r="S14" i="2"/>
  <c r="T14" i="2" s="1"/>
  <c r="G14" i="2"/>
  <c r="H14" i="2" s="1"/>
  <c r="I14" i="2" s="1"/>
  <c r="S13" i="2"/>
  <c r="T13" i="2" s="1"/>
  <c r="G13" i="2"/>
  <c r="H13" i="2" s="1"/>
  <c r="Q8" i="2"/>
  <c r="M8" i="2"/>
  <c r="A8" i="2"/>
  <c r="F17" i="1"/>
  <c r="E17" i="1"/>
  <c r="F16" i="1"/>
  <c r="E16" i="1"/>
  <c r="F15" i="1"/>
  <c r="E15" i="1"/>
  <c r="F14" i="1"/>
  <c r="E14" i="1"/>
  <c r="F13" i="1"/>
  <c r="E13" i="1"/>
  <c r="F12" i="1"/>
  <c r="E12" i="1"/>
  <c r="B12" i="1"/>
  <c r="E11" i="1"/>
  <c r="B11" i="1"/>
  <c r="F10" i="1"/>
  <c r="E10" i="1"/>
  <c r="F9" i="1"/>
  <c r="E9" i="1"/>
  <c r="F8" i="1"/>
  <c r="E8" i="1"/>
  <c r="F7" i="1"/>
  <c r="E7" i="1"/>
  <c r="F6" i="1"/>
  <c r="E6" i="1"/>
  <c r="B6" i="1"/>
  <c r="B13" i="1" l="1"/>
  <c r="F11" i="1"/>
  <c r="H33" i="2"/>
  <c r="I33" i="2" s="1"/>
  <c r="I13" i="2"/>
  <c r="I8" i="2"/>
  <c r="B7" i="1"/>
  <c r="B8" i="1"/>
  <c r="B10" i="1"/>
  <c r="E8" i="2"/>
  <c r="U8" i="2" s="1"/>
  <c r="B14" i="1" s="1"/>
  <c r="B9" i="1"/>
</calcChain>
</file>

<file path=xl/sharedStrings.xml><?xml version="1.0" encoding="utf-8"?>
<sst xmlns="http://schemas.openxmlformats.org/spreadsheetml/2006/main" count="861" uniqueCount="545">
  <si>
    <t>BARRIO SOLIDARIO</t>
  </si>
  <si>
    <t>Resumen de riesgos del MVP</t>
  </si>
  <si>
    <t>Indicador</t>
  </si>
  <si>
    <t>Resultado</t>
  </si>
  <si>
    <t>Categoría</t>
  </si>
  <si>
    <t>Cantidad</t>
  </si>
  <si>
    <t>Exposición promedio</t>
  </si>
  <si>
    <t>Identificación del documento</t>
  </si>
  <si>
    <t>Total de riesgos</t>
  </si>
  <si>
    <t>Alcance</t>
  </si>
  <si>
    <t>Código</t>
  </si>
  <si>
    <t>DOC-09</t>
  </si>
  <si>
    <t>Críticos</t>
  </si>
  <si>
    <t>Aceptación</t>
  </si>
  <si>
    <t>Documento</t>
  </si>
  <si>
    <t>Matriz de Gestión de Riesgos del MVP</t>
  </si>
  <si>
    <t>Altos</t>
  </si>
  <si>
    <t>Funcionalidad</t>
  </si>
  <si>
    <t>Proyecto</t>
  </si>
  <si>
    <t>Barrio Solidario</t>
  </si>
  <si>
    <t>Medios</t>
  </si>
  <si>
    <t>Seguridad</t>
  </si>
  <si>
    <t>Versión vigente</t>
  </si>
  <si>
    <t>Bajos</t>
  </si>
  <si>
    <t>Privacidad</t>
  </si>
  <si>
    <t>Estado</t>
  </si>
  <si>
    <t>En tratamiento</t>
  </si>
  <si>
    <t>Accesibilidad</t>
  </si>
  <si>
    <t>Fecha de creación</t>
  </si>
  <si>
    <t>07/09/2026</t>
  </si>
  <si>
    <t>Materializados</t>
  </si>
  <si>
    <t>Usabilidad</t>
  </si>
  <si>
    <t>Fecha de actualización</t>
  </si>
  <si>
    <t>Exposición inicial promedio</t>
  </si>
  <si>
    <t>Identidad visual</t>
  </si>
  <si>
    <t>Propietario</t>
  </si>
  <si>
    <t>Kevin Carriel Bonoso – Arquitecto de software</t>
  </si>
  <si>
    <t>Estado general</t>
  </si>
  <si>
    <t>Compatibilidad</t>
  </si>
  <si>
    <t>Consolidación</t>
  </si>
  <si>
    <t>Alex Mendoza Morante – Scrum Master</t>
  </si>
  <si>
    <t>Datos</t>
  </si>
  <si>
    <t>Revisión funcional</t>
  </si>
  <si>
    <t>Víctor Tello Bravo – Product Owner</t>
  </si>
  <si>
    <t>Rendimiento</t>
  </si>
  <si>
    <t>Revisión de calidad</t>
  </si>
  <si>
    <t>Luis Rodríguez Barrera – Calidad, pruebas y seguridad</t>
  </si>
  <si>
    <t>Arquitectura</t>
  </si>
  <si>
    <t>Nivel de acceso</t>
  </si>
  <si>
    <t>Uso académico</t>
  </si>
  <si>
    <t>Control de versiones</t>
  </si>
  <si>
    <t>Versión</t>
  </si>
  <si>
    <t>Fecha</t>
  </si>
  <si>
    <t>Descripción</t>
  </si>
  <si>
    <t>Responsable</t>
  </si>
  <si>
    <t>Revisor</t>
  </si>
  <si>
    <t>Nombre</t>
  </si>
  <si>
    <t>Rol</t>
  </si>
  <si>
    <t>Acción</t>
  </si>
  <si>
    <t>0.1.0</t>
  </si>
  <si>
    <t>Estructura y escalas</t>
  </si>
  <si>
    <t>Kevin Carriel Bonoso</t>
  </si>
  <si>
    <t>Alex Mendoza Morante</t>
  </si>
  <si>
    <t>Completado</t>
  </si>
  <si>
    <t>Víctor Tello Bravo</t>
  </si>
  <si>
    <t>Product Owner</t>
  </si>
  <si>
    <t>Validación de riesgos funcionales y de aceptación</t>
  </si>
  <si>
    <t>Revisado</t>
  </si>
  <si>
    <t>0.2.0</t>
  </si>
  <si>
    <t>08/09/2026</t>
  </si>
  <si>
    <t>Riesgos de alcance y aceptación</t>
  </si>
  <si>
    <t>Scrum Master</t>
  </si>
  <si>
    <t>Verificación de estructura, responsables y consolidación</t>
  </si>
  <si>
    <t>0.3.0</t>
  </si>
  <si>
    <t>09/09/2026</t>
  </si>
  <si>
    <t>Riesgos funcionales</t>
  </si>
  <si>
    <t>Víctor Tello Bravo / Luis Ramírez Conejo</t>
  </si>
  <si>
    <t>Luis Rodríguez Barrera</t>
  </si>
  <si>
    <t>Arquitecto de software</t>
  </si>
  <si>
    <t>Revisión de riesgos técnicos y tratamientos</t>
  </si>
  <si>
    <t>0.4.0</t>
  </si>
  <si>
    <t>10/09/2026</t>
  </si>
  <si>
    <t>Riesgos técnicos</t>
  </si>
  <si>
    <t>Kevin Carriel Bonoso / Luis Ramírez Conejo</t>
  </si>
  <si>
    <t>Calidad, pruebas y seguridad</t>
  </si>
  <si>
    <t>Revisión de seguridad, pruebas y criticidad</t>
  </si>
  <si>
    <t>0.5.0</t>
  </si>
  <si>
    <t>11/09/2026</t>
  </si>
  <si>
    <t>Seguridad y privacidad</t>
  </si>
  <si>
    <t>Luis Rodríguez Barrera / Kevin Carriel Bonoso</t>
  </si>
  <si>
    <t>Ing. Victoria García Velásquez</t>
  </si>
  <si>
    <t>Patrocinadora académica</t>
  </si>
  <si>
    <t>Revisión académica y aprobación</t>
  </si>
  <si>
    <t>Pendiente</t>
  </si>
  <si>
    <t>0.6.0</t>
  </si>
  <si>
    <t>12/09/2026</t>
  </si>
  <si>
    <t>Accesibilidad e identidad visual</t>
  </si>
  <si>
    <t>Mario Luzardo Fierro / Luis Rodríguez Barrera</t>
  </si>
  <si>
    <t>0.7.0</t>
  </si>
  <si>
    <t>13/09/2026</t>
  </si>
  <si>
    <t>Riesgos de gestión</t>
  </si>
  <si>
    <t>0.8.0</t>
  </si>
  <si>
    <t>Tratamientos y contingencias</t>
  </si>
  <si>
    <t>Equipo del proyecto</t>
  </si>
  <si>
    <t>0.9.0</t>
  </si>
  <si>
    <t>14/09/2026</t>
  </si>
  <si>
    <t>Revisión integral</t>
  </si>
  <si>
    <t>Kevin Carriel Bonoso / Luis Rodríguez Barrera</t>
  </si>
  <si>
    <t>Código: DOC-09</t>
  </si>
  <si>
    <t>Versión: 1.0.0</t>
  </si>
  <si>
    <t>Periodo: 06/09/2026–18/09/2026</t>
  </si>
  <si>
    <t>Propietario: Kevin Carriel Bonoso</t>
  </si>
  <si>
    <t>Revisión funcional: Víctor Tello Bravo</t>
  </si>
  <si>
    <t>Revisión de calidad: Luis Rodríguez Barrera</t>
  </si>
  <si>
    <t>Consolidación: Alex Mendoza Morante</t>
  </si>
  <si>
    <t>Uso académico · Sprint 3</t>
  </si>
  <si>
    <t>ESTADO GENERAL DE RIESGOS</t>
  </si>
  <si>
    <t>Escala: Probabilidad e impacto de 1 a 5. Exposición = Probabilidad × Impacto. 1–4 Bajo; 5–9 Medio; 10–16 Alto; 17–25 Crítico.</t>
  </si>
  <si>
    <t>Riesgo</t>
  </si>
  <si>
    <t>Causa principal</t>
  </si>
  <si>
    <t>Consecuencia</t>
  </si>
  <si>
    <t>Probabilidad inicial</t>
  </si>
  <si>
    <t>Impacto inicial</t>
  </si>
  <si>
    <t>Exposición inicial</t>
  </si>
  <si>
    <t>Nivel inicial</t>
  </si>
  <si>
    <t>Prioridad Jira</t>
  </si>
  <si>
    <t>Respuesta</t>
  </si>
  <si>
    <t>Acción preventiva</t>
  </si>
  <si>
    <t>Acción de contingencia</t>
  </si>
  <si>
    <t>Indicador o alerta</t>
  </si>
  <si>
    <t>Fecha de identificación</t>
  </si>
  <si>
    <t>Estado del riesgo</t>
  </si>
  <si>
    <t>Probabilidad residual</t>
  </si>
  <si>
    <t>Impacto residual</t>
  </si>
  <si>
    <t>Exposición residual</t>
  </si>
  <si>
    <t>Nivel residual</t>
  </si>
  <si>
    <t>Evidencia del tratamiento</t>
  </si>
  <si>
    <t>Fecha de revisión</t>
  </si>
  <si>
    <t>Observaciones</t>
  </si>
  <si>
    <t>Crecimiento no controlado del alcance</t>
  </si>
  <si>
    <t>Se incorporan funciones previstas para una versión posterior.</t>
  </si>
  <si>
    <t>Retraso del MVP y dispersión del esfuerzo.</t>
  </si>
  <si>
    <t>Evitar</t>
  </si>
  <si>
    <t>Aplicar la lista aprobada del MVP y control de cambios.</t>
  </si>
  <si>
    <t>Retirar o posponer funciones no esenciales.</t>
  </si>
  <si>
    <t>Solicitud de funciones fuera del MVP</t>
  </si>
  <si>
    <t>Límites ambiguos del MVP</t>
  </si>
  <si>
    <t>Los entregables no se interpretan igual por todo el equipo.</t>
  </si>
  <si>
    <t>Trabajo duplicado o incompleto.</t>
  </si>
  <si>
    <t>Mitigar</t>
  </si>
  <si>
    <t>Validar alcance, exclusiones y criterios con el Product Owner.</t>
  </si>
  <si>
    <t>Realizar sesión breve de alineación y repriorizar.</t>
  </si>
  <si>
    <t>Dudas repetidas sobre qué desarrollar</t>
  </si>
  <si>
    <t>Rechazo académico del entregable</t>
  </si>
  <si>
    <t>El resultado no coincide con la rúbrica o formato solicitado.</t>
  </si>
  <si>
    <t>Pérdida de calificación y retrabajo.</t>
  </si>
  <si>
    <t>Usar una lista de verificación basada en los entregables del Sprint 3.</t>
  </si>
  <si>
    <t>Corregir hallazgos prioritarios antes de la entrega.</t>
  </si>
  <si>
    <t>Criterios sin evidencia o sección faltante</t>
  </si>
  <si>
    <t>Criterios de aceptación incompletos</t>
  </si>
  <si>
    <t>Las historias no definen resultados verificables.</t>
  </si>
  <si>
    <t>No es posible confirmar si una función está terminada.</t>
  </si>
  <si>
    <t>Completar criterios antes del desarrollo y prueba.</t>
  </si>
  <si>
    <t>Acordar criterios mínimos y registrar la decisión.</t>
  </si>
  <si>
    <t>Historias listas para iniciar sin criterios</t>
  </si>
  <si>
    <t>Demostración poco clara</t>
  </si>
  <si>
    <t>No existe un guion que conecte problema, MVP y funciones.</t>
  </si>
  <si>
    <t>El avance funcional no se evidencia adecuadamente.</t>
  </si>
  <si>
    <t>Preparar recorrido y datos de demostración.</t>
  </si>
  <si>
    <t>Usar capturas y evidencia alternativa.</t>
  </si>
  <si>
    <t>Demo sin orden o responsables</t>
  </si>
  <si>
    <t>Falla en el registro de usuarios</t>
  </si>
  <si>
    <t>Errores en formularios, validaciones o persistencia.</t>
  </si>
  <si>
    <t>No se pueden crear cuentas.</t>
  </si>
  <si>
    <t>Probar casos válidos, inválidos y duplicados.</t>
  </si>
  <si>
    <t>Corregir el flujo y habilitar datos de prueba controlados.</t>
  </si>
  <si>
    <t>Luis Ramírez Conejo</t>
  </si>
  <si>
    <t>Registro devuelve error o no guarda</t>
  </si>
  <si>
    <t>Falla en el inicio de sesión</t>
  </si>
  <si>
    <t>Autenticación o sesión implementada incorrectamente.</t>
  </si>
  <si>
    <t>Los usuarios no acceden al panel.</t>
  </si>
  <si>
    <t>Pruebas unitarias y funcionales de autenticación.</t>
  </si>
  <si>
    <t>Revertir el último cambio y reparar el servicio.</t>
  </si>
  <si>
    <t>Credenciales válidas son rechazadas</t>
  </si>
  <si>
    <t>Cierre de sesión incompleto</t>
  </si>
  <si>
    <t>La sesión permanece activa o permite volver a páginas privadas.</t>
  </si>
  <si>
    <t>Acceso no autorizado desde un equipo compartido.</t>
  </si>
  <si>
    <t>Invalidar sesión y probar acceso directo posterior.</t>
  </si>
  <si>
    <t>Forzar expiración y corregir manejo de sesión.</t>
  </si>
  <si>
    <t>Panel accesible después de cerrar sesión</t>
  </si>
  <si>
    <t>Recuperación de contraseña incompleta</t>
  </si>
  <si>
    <t>El enlace, token o flujo simplificado no está integrado.</t>
  </si>
  <si>
    <t>El usuario no recupera el acceso.</t>
  </si>
  <si>
    <t>Definir alcance demostrable y probar el recorrido completo.</t>
  </si>
  <si>
    <t>Presentar confirmación controlada y registrar limitación.</t>
  </si>
  <si>
    <t>Mario Luzardo Fierro</t>
  </si>
  <si>
    <t>Solicitud sin confirmación o cambio efectivo</t>
  </si>
  <si>
    <t>Panel incorrecto según el rol</t>
  </si>
  <si>
    <t>La autorización o navegación no reconoce el perfil.</t>
  </si>
  <si>
    <t>Se muestran acciones indebidas o faltantes.</t>
  </si>
  <si>
    <t>Probar el panel con cada rol del MVP.</t>
  </si>
  <si>
    <t>Deshabilitar temporalmente opciones incorrectas.</t>
  </si>
  <si>
    <t>Menú no coincide con el rol</t>
  </si>
  <si>
    <t>Actualización incorrecta del perfil</t>
  </si>
  <si>
    <t>Validaciones o persistencia fallan.</t>
  </si>
  <si>
    <t>Datos incompletos o inconsistentes.</t>
  </si>
  <si>
    <t>Restringir campos editables y verificar antes/después.</t>
  </si>
  <si>
    <t>Restaurar datos previos y corregir el servicio.</t>
  </si>
  <si>
    <t>Cambios no guardados o datos alterados</t>
  </si>
  <si>
    <t>Contraseñas almacenadas en texto plano</t>
  </si>
  <si>
    <t>Implementación apresurada de persistencia.</t>
  </si>
  <si>
    <t>Exposición grave de credenciales.</t>
  </si>
  <si>
    <t>Aplicar hash seguro y revisión obligatoria.</t>
  </si>
  <si>
    <t>Invalidar credenciales y migrar hashes.</t>
  </si>
  <si>
    <t>Contraseñas legibles en datos o logs</t>
  </si>
  <si>
    <t>Acceso sin autenticación</t>
  </si>
  <si>
    <t>Rutas privadas sin protección del servidor.</t>
  </si>
  <si>
    <t>Exposición de funciones y datos.</t>
  </si>
  <si>
    <t>Centralizar control de sesión y probar URL directa.</t>
  </si>
  <si>
    <t>Bloquear la ruta y cerrar sesiones activas.</t>
  </si>
  <si>
    <t>Página privada visible sin login</t>
  </si>
  <si>
    <t>Escalada de privilegios</t>
  </si>
  <si>
    <t>Los permisos se validan solo en la interfaz.</t>
  </si>
  <si>
    <t>Un usuario ejecuta acciones de otro rol.</t>
  </si>
  <si>
    <t>Validar autorización en cada servicio protegido.</t>
  </si>
  <si>
    <t>Revocar acceso y corregir reglas de autorización.</t>
  </si>
  <si>
    <t>Petición manual aceptada para rol no autorizado</t>
  </si>
  <si>
    <t>Inyección o manipulación de entradas</t>
  </si>
  <si>
    <t>Datos del usuario no se validan en servidor.</t>
  </si>
  <si>
    <t>Alteración de consultas, datos o aplicación.</t>
  </si>
  <si>
    <t>Validar, normalizar y parametrizar entradas.</t>
  </si>
  <si>
    <t>Aislar el servicio, corregir y revisar registros.</t>
  </si>
  <si>
    <t>Entradas especiales causan errores o cambios</t>
  </si>
  <si>
    <t>Errores revelan información sensible</t>
  </si>
  <si>
    <t>Se muestran trazas, rutas o consultas internas.</t>
  </si>
  <si>
    <t>Facilita ataques y expone configuración.</t>
  </si>
  <si>
    <t>Usar mensajes controlados y logs separados.</t>
  </si>
  <si>
    <t>Ocultar detalle técnico y corregir manejo de excepciones.</t>
  </si>
  <si>
    <t>Pantalla muestra traceback o datos internos</t>
  </si>
  <si>
    <t>Credenciales publicadas en Git</t>
  </si>
  <si>
    <t>Claves escritas en código o archivos versionados.</t>
  </si>
  <si>
    <t>Compromiso de servicios y datos.</t>
  </si>
  <si>
    <t>Variables de entorno y revisión previa al commit.</t>
  </si>
  <si>
    <t>Revocar secretos, limpiar historial y reemplazarlos.</t>
  </si>
  <si>
    <t>Token, contraseña o archivo .env en commit</t>
  </si>
  <si>
    <t>Recolección excesiva de datos</t>
  </si>
  <si>
    <t>Formularios incluyen información ajena al MVP.</t>
  </si>
  <si>
    <t>Mayor exposición y menor confianza.</t>
  </si>
  <si>
    <t>Aplicar minimización y revisión funcional de campos.</t>
  </si>
  <si>
    <t>Eliminar campos y datos no necesarios.</t>
  </si>
  <si>
    <t>Campo sin finalidad documentada</t>
  </si>
  <si>
    <t>Evidencias con datos personales</t>
  </si>
  <si>
    <t>Capturas o registros no son anonimizados.</t>
  </si>
  <si>
    <t>Divulgación no autorizada.</t>
  </si>
  <si>
    <t>Usar datos ficticios y anonimizar evidencias.</t>
  </si>
  <si>
    <t>Retirar archivo, reemplazarlo y notificar al equipo.</t>
  </si>
  <si>
    <t>Nombre, correo o teléfono real en evidencia</t>
  </si>
  <si>
    <t>Contraste insuficiente</t>
  </si>
  <si>
    <t>Combinaciones de color no alcanzan el mínimo.</t>
  </si>
  <si>
    <t>Dificultad de lectura para usuarios con baja visión.</t>
  </si>
  <si>
    <t>Validar contraste 4.5:1 y 3:1 según el texto.</t>
  </si>
  <si>
    <t>Ajustar tonos conservando la paleta del proyecto.</t>
  </si>
  <si>
    <t>Herramienta de contraste reporta incumplimiento</t>
  </si>
  <si>
    <t>Navegación por teclado incompleta</t>
  </si>
  <si>
    <t>Orden de foco o controles no son operables.</t>
  </si>
  <si>
    <t>Usuarios con limitaciones motrices no completan flujos.</t>
  </si>
  <si>
    <t>Probar registro, login y perfil solo con teclado.</t>
  </si>
  <si>
    <t>Corregir foco, semántica y eventos de teclado.</t>
  </si>
  <si>
    <t>Control inaccesible con Tab o Enter</t>
  </si>
  <si>
    <t>Campos sin etiquetas comprensibles</t>
  </si>
  <si>
    <t>Uso de placeholder como única identificación.</t>
  </si>
  <si>
    <t>Lectores de pantalla no interpretan formularios.</t>
  </si>
  <si>
    <t>Asociar label a cada control y revisar HTML.</t>
  </si>
  <si>
    <t>Añadir etiquetas y atributos accesibles.</t>
  </si>
  <si>
    <t>Campo sin label asociado</t>
  </si>
  <si>
    <t>Foco visual no visible</t>
  </si>
  <si>
    <t>Estilos eliminan o debilitan el indicador.</t>
  </si>
  <si>
    <t>El usuario pierde su posición al navegar.</t>
  </si>
  <si>
    <t>Definir estilo de foco consistente.</t>
  </si>
  <si>
    <t>Restaurar outline accesible en todos los controles.</t>
  </si>
  <si>
    <t>No se distingue el elemento activo</t>
  </si>
  <si>
    <t>Información comunicada solo con color</t>
  </si>
  <si>
    <t>Estados carecen de texto complementario.</t>
  </si>
  <si>
    <t>Usuarios con daltonismo interpretan mal la interfaz.</t>
  </si>
  <si>
    <t>Combinar color con texto o símbolo descriptivo.</t>
  </si>
  <si>
    <t>Añadir etiquetas visibles a estados y errores.</t>
  </si>
  <si>
    <t>Estado solo distinguible por color</t>
  </si>
  <si>
    <t>Flujo complejo para adultos mayores</t>
  </si>
  <si>
    <t>Exceso de pasos, textos o decisiones.</t>
  </si>
  <si>
    <t>Abandono y necesidad de asistencia permanente.</t>
  </si>
  <si>
    <t>Simplificar formularios y permitir acompañamiento del cuidador.</t>
  </si>
  <si>
    <t>Reducir pasos y priorizar acciones esenciales.</t>
  </si>
  <si>
    <t>Usuarios no completan el flujo sin ayuda</t>
  </si>
  <si>
    <t>Mensajes confusos</t>
  </si>
  <si>
    <t>Texto técnico o ambiguo en confirmaciones y errores.</t>
  </si>
  <si>
    <t>El usuario repite acciones o abandona.</t>
  </si>
  <si>
    <t>Usar lenguaje directo y pruebas de revisión funcional.</t>
  </si>
  <si>
    <t>Reescribir mensajes críticos.</t>
  </si>
  <si>
    <t>Usuarios preguntan qué acción realizar</t>
  </si>
  <si>
    <t>Colores inconsistentes</t>
  </si>
  <si>
    <t>CSS o pantallas usan tonos no aprobados.</t>
  </si>
  <si>
    <t>Pérdida de coherencia e identidad.</t>
  </si>
  <si>
    <t>Centralizar variables de color y revisar pantallas.</t>
  </si>
  <si>
    <t>Sustituir valores por tokens aprobados.</t>
  </si>
  <si>
    <t>Mismo elemento muestra colores distintos</t>
  </si>
  <si>
    <t>Uso excesivo del magenta</t>
  </si>
  <si>
    <t>El color de acción se aplica a elementos secundarios.</t>
  </si>
  <si>
    <t>La jerarquía visual se debilita.</t>
  </si>
  <si>
    <t>Reservar #C92351 para acciones principales y alertas clave.</t>
  </si>
  <si>
    <t>Reducir acentos y usar azul o gris secundario.</t>
  </si>
  <si>
    <t>Varias acciones compiten visualmente</t>
  </si>
  <si>
    <t>Encabezado inconsistente</t>
  </si>
  <si>
    <t>Cada pantalla implementa un header diferente.</t>
  </si>
  <si>
    <t>Navegación confusa y apariencia no uniforme.</t>
  </si>
  <si>
    <t>Reutilizar un único componente de encabezado.</t>
  </si>
  <si>
    <t>Unificar estructura y estilos antes de la demo.</t>
  </si>
  <si>
    <t>Cambian logo, enlaces o alturas entre vistas</t>
  </si>
  <si>
    <t>Diseño adaptable defectuoso</t>
  </si>
  <si>
    <t>No se prueban resoluciones diferentes.</t>
  </si>
  <si>
    <t>Superposición o desplazamiento horizontal.</t>
  </si>
  <si>
    <t>Pruebas responsivas y puntos de quiebre definidos.</t>
  </si>
  <si>
    <t>Corregir estilos de contenedores y formularios.</t>
  </si>
  <si>
    <t>Contenido cortado en pantalla pequeña</t>
  </si>
  <si>
    <t>Diferencias entre Chrome y Edge</t>
  </si>
  <si>
    <t>Uso de comportamiento específico del navegador.</t>
  </si>
  <si>
    <t>Un flujo falla en el navegador de evaluación.</t>
  </si>
  <si>
    <t>Ejecutar casos principales en ambos navegadores.</t>
  </si>
  <si>
    <t>Aplicar alternativa compatible.</t>
  </si>
  <si>
    <t>Resultado visual o funcional diferente</t>
  </si>
  <si>
    <t>Pérdida de información</t>
  </si>
  <si>
    <t>Errores de base de datos o cambios sin respaldo.</t>
  </si>
  <si>
    <t>Cuentas y perfiles no pueden recuperarse.</t>
  </si>
  <si>
    <t>Copias de seguridad de datos de prueba y migraciones controladas.</t>
  </si>
  <si>
    <t>Restaurar respaldo y reparar esquema.</t>
  </si>
  <si>
    <t>Registros desaparecen después de cambios</t>
  </si>
  <si>
    <t>Usuarios duplicados</t>
  </si>
  <si>
    <t>No se controla la unicidad del correo.</t>
  </si>
  <si>
    <t>Autenticación y perfiles inconsistentes.</t>
  </si>
  <si>
    <t>Restricción única y validación de servicio.</t>
  </si>
  <si>
    <t>Depurar duplicados y corregir regla.</t>
  </si>
  <si>
    <t>Mismo correo registrado más de una vez</t>
  </si>
  <si>
    <t>Modelo de datos distinto de la documentación</t>
  </si>
  <si>
    <t>Cambios técnicos no actualizan el modelo.</t>
  </si>
  <si>
    <t>Pérdida de trazabilidad y errores de integración.</t>
  </si>
  <si>
    <t>Revisión cruzada entre diagrama, clases y esquema.</t>
  </si>
  <si>
    <t>Actualizar documento o implementación aprobada.</t>
  </si>
  <si>
    <t>Atributo o relación no coincide</t>
  </si>
  <si>
    <t>Carga lenta de páginas</t>
  </si>
  <si>
    <t>Recursos grandes o consultas innecesarias.</t>
  </si>
  <si>
    <t>Experiencia deficiente y demo lenta.</t>
  </si>
  <si>
    <t>Medir tiempos y optimizar recursos esenciales.</t>
  </si>
  <si>
    <t>Reducir recursos y consultas antes de la entrega.</t>
  </si>
  <si>
    <t>Página supera 3 segundos en pruebas</t>
  </si>
  <si>
    <t>Servicios Python lentos</t>
  </si>
  <si>
    <t>Consultas o lógica no optimizada.</t>
  </si>
  <si>
    <t>Registro, login o perfil responden tarde.</t>
  </si>
  <si>
    <t>Medir endpoints y revisar consultas.</t>
  </si>
  <si>
    <t>Optimizar el servicio crítico.</t>
  </si>
  <si>
    <t>Respuesta local supera 2 segundos</t>
  </si>
  <si>
    <t>Código monolítico y difícil de mantener</t>
  </si>
  <si>
    <t>Lógica concentrada en rutas o archivos únicos.</t>
  </si>
  <si>
    <t>Más defectos y cambios lentos.</t>
  </si>
  <si>
    <t>Separar modelos, rutas, servicios y configuración.</t>
  </si>
  <si>
    <t>Refactorizar módulos críticos.</t>
  </si>
  <si>
    <t>Archivo concentra interfaz, negocio y datos</t>
  </si>
  <si>
    <t>Integración</t>
  </si>
  <si>
    <t>Integración tardía de HTML y Python</t>
  </si>
  <si>
    <t>Frontend y backend avanzan sin contratos comunes.</t>
  </si>
  <si>
    <t>Bloqueos y defectos al final del Sprint.</t>
  </si>
  <si>
    <t>Definir rutas y datos temprano; integrar por incrementos.</t>
  </si>
  <si>
    <t>Sesión conjunta y priorización del flujo principal.</t>
  </si>
  <si>
    <t>Pantallas usan datos simulados cerca de entrega</t>
  </si>
  <si>
    <t>Calidad</t>
  </si>
  <si>
    <t>Cobertura de pruebas insuficiente</t>
  </si>
  <si>
    <t>Pruebas se dejan para el final.</t>
  </si>
  <si>
    <t>Defectos críticos llegan a la demostración.</t>
  </si>
  <si>
    <t>Casos de prueba por historia y ejecución continua.</t>
  </si>
  <si>
    <t>Priorizar smoke test de registro, login, panel y perfil.</t>
  </si>
  <si>
    <t>Historia terminada sin evidencia de prueba</t>
  </si>
  <si>
    <t>Defectos sin responsable</t>
  </si>
  <si>
    <t>Hallazgos no se registran o asignan.</t>
  </si>
  <si>
    <t>Errores permanecen abiertos.</t>
  </si>
  <si>
    <t>Registrar cada defecto con prioridad y dueño.</t>
  </si>
  <si>
    <t>Asignación inmediata en reunión de seguimiento.</t>
  </si>
  <si>
    <t>Incidencia sin responsable o fecha</t>
  </si>
  <si>
    <t>Incumplimiento de una tarea Highest</t>
  </si>
  <si>
    <t>Una función crítica no satisface aceptación.</t>
  </si>
  <si>
    <t>El MVP no puede aprobarse.</t>
  </si>
  <si>
    <t>Revisar diariamente tareas Highest y bloquear trabajo secundario.</t>
  </si>
  <si>
    <t>Concentrar al equipo en la corrección crítica.</t>
  </si>
  <si>
    <t>Tarea Highest atrasada o fallida</t>
  </si>
  <si>
    <t>Planificación</t>
  </si>
  <si>
    <t>Retraso de tareas críticas</t>
  </si>
  <si>
    <t>Estimaciones optimistas o dependencias no atendidas.</t>
  </si>
  <si>
    <t>Entrega incompleta al 18/09/2026.</t>
  </si>
  <si>
    <t>Seguimiento diario de ruta crítica y bloqueos.</t>
  </si>
  <si>
    <t>Reducir alcance secundario y reasignar trabajo.</t>
  </si>
  <si>
    <t>Desviación mayor a un día</t>
  </si>
  <si>
    <t>Equipo</t>
  </si>
  <si>
    <t>Indisponibilidad de un integrante</t>
  </si>
  <si>
    <t>Compromisos académicos, laborales o personales.</t>
  </si>
  <si>
    <t>Tareas especializadas quedan detenidas.</t>
  </si>
  <si>
    <t>Compartir documentación y revisión cruzada.</t>
  </si>
  <si>
    <t>Reasignar subtarea dentro de su intervalo.</t>
  </si>
  <si>
    <t>Ausencia o falta de actualización</t>
  </si>
  <si>
    <t>Distribución desigual del trabajo</t>
  </si>
  <si>
    <t>Actividades concentradas en pocos integrantes.</t>
  </si>
  <si>
    <t>Sobrecarga, retrasos y poca evidencia individual.</t>
  </si>
  <si>
    <t>Asignar tareas según roles y capacidad.</t>
  </si>
  <si>
    <t>Redistribuir subtareas manteniendo al responsable principal.</t>
  </si>
  <si>
    <t>Un integrante acumula tareas pendientes</t>
  </si>
  <si>
    <t>Herramientas</t>
  </si>
  <si>
    <t>Jira no refleja el avance real</t>
  </si>
  <si>
    <t>Actualización tardía de estados y evidencias.</t>
  </si>
  <si>
    <t>Cronograma y reporte pierden confiabilidad.</t>
  </si>
  <si>
    <t>Actualizar Jira al finalizar cada sesión de trabajo.</t>
  </si>
  <si>
    <t>Conciliar tablero con entregables y commits.</t>
  </si>
  <si>
    <t>Diferencia entre archivos y estado de Jira</t>
  </si>
  <si>
    <t>Repositorio</t>
  </si>
  <si>
    <t>Pérdida o sobreescritura de código</t>
  </si>
  <si>
    <t>Cambios sin ramas, respaldo o revisión.</t>
  </si>
  <si>
    <t>Retroceso del desarrollo funcional.</t>
  </si>
  <si>
    <t>Commits frecuentes y coordinación antes de integrar.</t>
  </si>
  <si>
    <t>Recuperar desde historial y rehacer cambio aislado.</t>
  </si>
  <si>
    <t>Conflicto o archivo eliminado accidentalmente</t>
  </si>
  <si>
    <t>Documentación</t>
  </si>
  <si>
    <t>Documento de Visión desactualizado</t>
  </si>
  <si>
    <t>Matrices y diagramas cambian sin consolidación.</t>
  </si>
  <si>
    <t>Entrega incoherente con el proyecto actual.</t>
  </si>
  <si>
    <t>Control de versiones y revisión antes de exportar PDF.</t>
  </si>
  <si>
    <t>Consolidar la versión vigente y reemplazar anexos.</t>
  </si>
  <si>
    <t>Fechas, alcance o diagramas no coinciden</t>
  </si>
  <si>
    <t>Inconsistencias entre documentos</t>
  </si>
  <si>
    <t>Nombres, roles, fechas o alcance difieren.</t>
  </si>
  <si>
    <t>Confusión en revisión académica.</t>
  </si>
  <si>
    <t>Usar fuentes maestras y lista de consistencia.</t>
  </si>
  <si>
    <t>Corregir documentos afectados antes de entrega.</t>
  </si>
  <si>
    <t>Mismo dato aparece con valores distintos</t>
  </si>
  <si>
    <t>Trazabilidad</t>
  </si>
  <si>
    <t>Requisitos sin vínculo con historias, pantallas o pruebas</t>
  </si>
  <si>
    <t>Artefactos se elaboran de forma independiente.</t>
  </si>
  <si>
    <t>No se demuestra cobertura del MVP.</t>
  </si>
  <si>
    <t>Mantener matriz de trazabilidad y evidencia por función.</t>
  </si>
  <si>
    <t>Completar vínculos faltantes y documentar exclusiones.</t>
  </si>
  <si>
    <t>Función sin historia, clase, pantalla o prueba</t>
  </si>
  <si>
    <t>Procesos</t>
  </si>
  <si>
    <t>BPMN distinto de la implementación</t>
  </si>
  <si>
    <t>El proceso cambia sin actualizar el diagrama.</t>
  </si>
  <si>
    <t>Modelo y aplicación se contradicen.</t>
  </si>
  <si>
    <t>Revisar BPMN contra el flujo funcional.</t>
  </si>
  <si>
    <t>Actualizar el artefacto que no corresponda a la decisión aprobada.</t>
  </si>
  <si>
    <t>Actividad del flujo no existe en el sistema</t>
  </si>
  <si>
    <t>Cambios</t>
  </si>
  <si>
    <t>Cambio implementado sin aprobación</t>
  </si>
  <si>
    <t>Se omite el formato de gestión de cambios.</t>
  </si>
  <si>
    <t>Aumento de alcance y falta de trazabilidad.</t>
  </si>
  <si>
    <t>Registrar, analizar y decidir cambios antes de ejecutar.</t>
  </si>
  <si>
    <t>Revertir o formalizar el cambio con decisión del PO.</t>
  </si>
  <si>
    <t>Commit o tarea sin solicitud asociada</t>
  </si>
  <si>
    <t>Entrega</t>
  </si>
  <si>
    <t>Archivos incompletos o dañados</t>
  </si>
  <si>
    <t>Exportación o consolidación sin revisión final.</t>
  </si>
  <si>
    <t>El evaluador no puede abrir o localizar entregables.</t>
  </si>
  <si>
    <t>Lista de entrega, nombres consistentes y prueba de apertura.</t>
  </si>
  <si>
    <t>Reexportar y reemplazar el archivo antes del cierre.</t>
  </si>
  <si>
    <t>Archivo faltante, corrupto o versión incorrecta</t>
  </si>
  <si>
    <t>Demostración</t>
  </si>
  <si>
    <t>Falla del ambiente de demostración</t>
  </si>
  <si>
    <t>Configuración, dependencias o datos no preparados.</t>
  </si>
  <si>
    <t>No se evidencia el desarrollo.</t>
  </si>
  <si>
    <t>Ensayo completo y guía reproducible de ejecución.</t>
  </si>
  <si>
    <t>Usar respaldo local, capturas y video corto.</t>
  </si>
  <si>
    <t>Aplicación no inicia en equipo alterno</t>
  </si>
  <si>
    <t>Ausencia de datos de prueba</t>
  </si>
  <si>
    <t>No existen cuentas o escenarios preparados.</t>
  </si>
  <si>
    <t>La demo se interrumpe o no cubre los flujos.</t>
  </si>
  <si>
    <t>Crear datos ficticios controlados y documentar credenciales de demo.</t>
  </si>
  <si>
    <t>Registrar datos manualmente antes de presentar.</t>
  </si>
  <si>
    <t>No hay usuario válido para el recorrido</t>
  </si>
  <si>
    <t>Probabilidad / Impacto</t>
  </si>
  <si>
    <t>Identificado</t>
  </si>
  <si>
    <t>Highest</t>
  </si>
  <si>
    <t>High</t>
  </si>
  <si>
    <t>Transferir</t>
  </si>
  <si>
    <t>Controlado</t>
  </si>
  <si>
    <t>Low</t>
  </si>
  <si>
    <t>Aceptar</t>
  </si>
  <si>
    <t>Materializado</t>
  </si>
  <si>
    <t>Lowest</t>
  </si>
  <si>
    <t>Cerrado</t>
  </si>
  <si>
    <t>1.1.0</t>
  </si>
  <si>
    <t>En seguimiento</t>
  </si>
  <si>
    <t>01/10/2026</t>
  </si>
  <si>
    <t>Seguimiento, evaluación residual y evidencias</t>
  </si>
  <si>
    <t>Alex Mendoza Morante / Luis Rodríguez Barrera</t>
  </si>
  <si>
    <t>Estado: En seguimiento</t>
  </si>
  <si>
    <t>Actualización: 01/10/2026</t>
  </si>
  <si>
    <t>Seguimiento actualizado al 01/10/2026: controles aplicados, exposición residual calculada y evidencias registradas.</t>
  </si>
  <si>
    <t>Backlog del MVP, criterios de exclusión y registro de cambios revisados.</t>
  </si>
  <si>
    <t>El alcance se mantuvo en el MVP aprobado y cualquier ampliación quedó sujeta al control de cambios.</t>
  </si>
  <si>
    <t>El control preventivo fue aplicado y no se observó materialización; se mantiene monitoreo hasta la entrega.</t>
  </si>
  <si>
    <t>Lista de verificación, criterios de aceptación y evidencia de revisión funcional.</t>
  </si>
  <si>
    <t>Casos de prueba del flujo, capturas del resultado y evidencia registrada en Jira.</t>
  </si>
  <si>
    <t>Las credenciales válidas permiten acceso y los errores se presentan de forma controlada.</t>
  </si>
  <si>
    <t>El flujo está integrado parcialmente; falta validar token, caducidad y notificación de extremo a extremo.</t>
  </si>
  <si>
    <t>Se mantiene seguimiento hasta completar la prueba de permisos para todos los roles del MVP.</t>
  </si>
  <si>
    <t>Pruebas negativas, revisión de rutas y configuración segura del repositorio.</t>
  </si>
  <si>
    <t>No se detectó el indicador de alerta después de aplicar el control; el riesgo se cierra con evidencia disponible.</t>
  </si>
  <si>
    <t>Las rutas privadas rechazaron accesos directos sin sesión durante la verificación.</t>
  </si>
  <si>
    <t>La validación del servidor está en revisión para acciones sensibles y acceso por URL directa.</t>
  </si>
  <si>
    <t>Las respuestas visibles no muestran trazas, consultas ni configuración interna.</t>
  </si>
  <si>
    <t>Formularios revisados y evidencias anonimizadas con datos ficticios.</t>
  </si>
  <si>
    <t>Lista de comprobación de accesibilidad y capturas de navegación y contraste.</t>
  </si>
  <si>
    <t>Los componentes principales cumplen el contraste definido o fueron ajustados.</t>
  </si>
  <si>
    <t>Persisten ajustes menores de orden de foco en formularios y componentes interactivos.</t>
  </si>
  <si>
    <t>Revisión funcional del recorrido y evidencia de mensajes e instrucciones ajustadas.</t>
  </si>
  <si>
    <t>Se simplificaron textos y campos; falta una validación final del recorrido asistido.</t>
  </si>
  <si>
    <t>Comparación con paleta aprobada y capturas de pantallas consolidadas.</t>
  </si>
  <si>
    <t>Resultados de prueba en Chrome, Edge y resoluciones representativas.</t>
  </si>
  <si>
    <t>Consulta de base de datos, restricciones verificadas y respaldo de datos de prueba.</t>
  </si>
  <si>
    <t>Los registros persistieron después del reinicio y existe respaldo de datos de prueba.</t>
  </si>
  <si>
    <t>Registro de tiempos de respuesta en ambiente local y revisión de recursos.</t>
  </si>
  <si>
    <t>Las pantallas principales cargaron dentro del umbral establecido en pruebas locales.</t>
  </si>
  <si>
    <t>Árbol del proyecto y revisión técnica de rutas, modelos y servicios.</t>
  </si>
  <si>
    <t>Evidencia de integración frontend-backend y ejecución del flujo principal.</t>
  </si>
  <si>
    <t>El flujo principal está conectado; continúan pruebas integrales y corrección de incidencias.</t>
  </si>
  <si>
    <t>Casos de prueba, incidencias y resultados asociados en Jira.</t>
  </si>
  <si>
    <t>Los casos críticos están ejecutados; se completa la cobertura y evidencia de escenarios negativos.</t>
  </si>
  <si>
    <t>Cronograma del Sprint 4 y seguimiento de tareas críticas en Jira.</t>
  </si>
  <si>
    <t>La ruta crítica está controlada, pero requiere revisión diaria hasta el cierre del Sprint 4.</t>
  </si>
  <si>
    <t>Asignaciones individuales, actualización de responsables y seguimiento diario.</t>
  </si>
  <si>
    <t>Tablero Jira conciliado con archivos, commits y evidencias.</t>
  </si>
  <si>
    <t>Se realizó conciliación inicial; quedan evidencias y estados por actualizar antes del cierre.</t>
  </si>
  <si>
    <t>Historial de commits, ramas y verificación de recuperación de versión.</t>
  </si>
  <si>
    <t>Documento de Visión y anexos consolidados con control de versiones.</t>
  </si>
  <si>
    <t>La consolidación está en curso para incorporar matriz de calidad, riesgos, cambios, BPMN y cronograma.</t>
  </si>
  <si>
    <t>Se ejecuta revisión cruzada final de nombres, fechas, roles, alcance y versiones.</t>
  </si>
  <si>
    <t>Matriz que relaciona requisito, historia, pantalla, servicio y prueba.</t>
  </si>
  <si>
    <t>La trazabilidad del MVP está avanzada; faltan vínculos de evidencia en algunos casos de prueba.</t>
  </si>
  <si>
    <t>Diagramas BPMN comparados con los flujos vigentes del MVP.</t>
  </si>
  <si>
    <t>Formato y plan de control de cambios con decisión y trazabilidad.</t>
  </si>
  <si>
    <t>Los cambios revisados cuentan con registro, análisis y decisión antes de su incorporación.</t>
  </si>
  <si>
    <t>Lista de entregables y prueba de apertura de los archivos finales.</t>
  </si>
  <si>
    <t>Guion, datos de prueba y ensayo del ambiente de demostración.</t>
  </si>
  <si>
    <t>El ambiente local funciona; falta ensayo completo en un equipo alterno y respaldo de la demo.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</si>
</sst>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>
    <font>
      <sz val="11"/>
      <name val="Carlito"/>
    </font>
    <font>
      <sz val="10"/>
      <color rgb="FF212937"/>
      <name val="Arial"/>
    </font>
    <font>
      <b/>
      <sz val="10"/>
      <color rgb="FFFFFFFF"/>
      <name val="Arial"/>
    </font>
    <font>
      <b/>
      <sz val="16"/>
      <color rgb="FFFFFFFF"/>
      <name val="Arial"/>
    </font>
    <font>
      <b/>
      <sz val="14"/>
      <color rgb="FFFFFFFF"/>
      <name val="Arial"/>
    </font>
    <font>
      <sz val="9"/>
      <color rgb="FF212937"/>
      <name val="Arial"/>
    </font>
    <font>
      <b/>
      <sz val="11"/>
      <color rgb="FFFFFFFF"/>
      <name val="Arial"/>
    </font>
    <font>
      <b/>
      <sz val="9"/>
      <color rgb="FF212937"/>
      <name val="Arial"/>
    </font>
    <font>
      <b/>
      <sz val="12"/>
      <color rgb="FF212937"/>
      <name val="Arial"/>
    </font>
    <font>
      <i/>
      <sz val="9"/>
      <color rgb="FF212937"/>
      <name val="Arial"/>
    </font>
    <font>
      <b/>
      <sz val="9"/>
      <color rgb="FFFFFFFF"/>
      <name val="Arial"/>
    </font>
    <font>
      <b/>
      <sz val="10"/>
      <color rgb="FF212937"/>
      <name val="Arial"/>
    </font>
    <font>
      <sz val="11"/>
      <name val="Arial"/>
    </font>
    <font>
      <b/>
      <sz val="10"/>
      <color rgb="FF385723"/>
      <name val="Arial"/>
    </font>
    <font>
      <b/>
      <sz val="10"/>
      <color rgb="FF385723"/>
      <name val="Carlito"/>
    </font>
  </fonts>
  <fills count="6">
    <fill>
      <patternFill patternType="none"/>
    </fill>
    <fill>
      <patternFill patternType="gray125"/>
    </fill>
    <fill>
      <patternFill patternType="solid">
        <fgColor rgb="FF2A3966"/>
      </patternFill>
    </fill>
    <fill>
      <patternFill patternType="solid">
        <fgColor rgb="FFE9EBF0"/>
      </patternFill>
    </fill>
    <fill>
      <patternFill patternType="solid">
        <fgColor rgb="FFC92351"/>
      </patternFill>
    </fill>
    <fill>
      <patternFill patternType="solid">
        <fgColor rgb="FFE2F0D9"/>
      </patternFill>
    </fill>
  </fills>
  <borders count="29">
    <border>
      <left/>
      <right/>
      <top/>
      <bottom/>
      <diagonal/>
    </border>
    <border>
      <left/>
      <right style="thin">
        <color rgb="FFE9EBF0"/>
      </right>
      <top/>
      <bottom style="thin">
        <color rgb="FFE9EBF0"/>
      </bottom>
      <diagonal/>
    </border>
    <border>
      <left style="thin">
        <color rgb="FFE9EBF0"/>
      </left>
      <right style="thin">
        <color rgb="FFE9EBF0"/>
      </right>
      <top/>
      <bottom style="thin">
        <color rgb="FFE9EBF0"/>
      </bottom>
      <diagonal/>
    </border>
    <border>
      <left style="thin">
        <color rgb="FFE9EBF0"/>
      </left>
      <right/>
      <top/>
      <bottom style="thin">
        <color rgb="FFE9EBF0"/>
      </bottom>
      <diagonal/>
    </border>
    <border>
      <left/>
      <right style="thin">
        <color rgb="FFE9EBF0"/>
      </right>
      <top style="thin">
        <color rgb="FFE9EBF0"/>
      </top>
      <bottom style="thin">
        <color rgb="FFE9EBF0"/>
      </bottom>
      <diagonal/>
    </border>
    <border>
      <left style="thin">
        <color rgb="FFE9EBF0"/>
      </left>
      <right style="thin">
        <color rgb="FFE9EBF0"/>
      </right>
      <top style="thin">
        <color rgb="FFE9EBF0"/>
      </top>
      <bottom style="thin">
        <color rgb="FFE9EBF0"/>
      </bottom>
      <diagonal/>
    </border>
    <border>
      <left style="thin">
        <color rgb="FFE9EBF0"/>
      </left>
      <right/>
      <top style="thin">
        <color rgb="FFE9EBF0"/>
      </top>
      <bottom style="thin">
        <color rgb="FFE9EBF0"/>
      </bottom>
      <diagonal/>
    </border>
    <border>
      <left/>
      <right style="thin">
        <color rgb="FFE9EBF0"/>
      </right>
      <top style="thin">
        <color rgb="FFE9EBF0"/>
      </top>
      <bottom/>
      <diagonal/>
    </border>
    <border>
      <left style="thin">
        <color rgb="FFE9EBF0"/>
      </left>
      <right style="thin">
        <color rgb="FFE9EBF0"/>
      </right>
      <top style="thin">
        <color rgb="FFE9EBF0"/>
      </top>
      <bottom/>
      <diagonal/>
    </border>
    <border>
      <left style="thin">
        <color rgb="FFE9EBF0"/>
      </left>
      <right/>
      <top style="thin">
        <color rgb="FFE9EBF0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E9EBF0"/>
      </bottom>
      <diagonal/>
    </border>
    <border>
      <left/>
      <right/>
      <top style="thin">
        <color rgb="FFE9EBF0"/>
      </top>
      <bottom style="thin">
        <color rgb="FFE9EBF0"/>
      </bottom>
      <diagonal/>
    </border>
    <border>
      <left/>
      <right/>
      <top style="thin">
        <color rgb="FFE9EBF0"/>
      </top>
      <bottom style="thin">
        <color rgb="FFD9D9D9"/>
      </bottom>
      <diagonal/>
    </border>
    <border>
      <left/>
      <right/>
      <top style="thin">
        <color rgb="FFE9EBF0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0" fillId="2" borderId="0" xfId="0" applyFill="1"/>
    <xf numFmtId="0" fontId="0" fillId="4" borderId="0" xfId="0" applyFill="1"/>
    <xf numFmtId="0" fontId="7" fillId="3" borderId="0" xfId="0" applyFont="1" applyFill="1" applyAlignment="1">
      <alignment horizontal="center"/>
    </xf>
    <xf numFmtId="0" fontId="10" fillId="2" borderId="22" xfId="0" applyFont="1" applyFill="1" applyBorder="1" applyAlignment="1">
      <alignment horizontal="center" vertical="center" wrapText="1"/>
    </xf>
    <xf numFmtId="0" fontId="10" fillId="2" borderId="23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vertical="top" wrapText="1"/>
    </xf>
    <xf numFmtId="0" fontId="5" fillId="0" borderId="26" xfId="0" applyFont="1" applyBorder="1" applyAlignment="1">
      <alignment vertical="top" wrapText="1"/>
    </xf>
    <xf numFmtId="0" fontId="5" fillId="0" borderId="27" xfId="0" applyFont="1" applyBorder="1" applyAlignment="1">
      <alignment vertical="top" wrapText="1"/>
    </xf>
    <xf numFmtId="14" fontId="5" fillId="0" borderId="25" xfId="0" applyNumberFormat="1" applyFont="1" applyBorder="1" applyAlignment="1">
      <alignment vertical="top" wrapText="1"/>
    </xf>
    <xf numFmtId="14" fontId="5" fillId="0" borderId="26" xfId="0" applyNumberFormat="1" applyFont="1" applyBorder="1" applyAlignment="1">
      <alignment vertical="top" wrapText="1"/>
    </xf>
    <xf numFmtId="14" fontId="5" fillId="0" borderId="27" xfId="0" applyNumberFormat="1" applyFont="1" applyBorder="1" applyAlignment="1">
      <alignment vertical="top" wrapText="1"/>
    </xf>
    <xf numFmtId="0" fontId="11" fillId="0" borderId="4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5" fillId="0" borderId="25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164" fontId="5" fillId="0" borderId="25" xfId="0" applyNumberFormat="1" applyFont="1" applyBorder="1" applyAlignment="1">
      <alignment vertical="center"/>
    </xf>
    <xf numFmtId="164" fontId="5" fillId="0" borderId="26" xfId="0" applyNumberFormat="1" applyFont="1" applyBorder="1" applyAlignment="1">
      <alignment vertical="center"/>
    </xf>
    <xf numFmtId="0" fontId="7" fillId="0" borderId="25" xfId="0" applyFont="1" applyBorder="1"/>
    <xf numFmtId="0" fontId="7" fillId="0" borderId="26" xfId="0" applyFont="1" applyBorder="1"/>
    <xf numFmtId="0" fontId="7" fillId="0" borderId="28" xfId="0" applyFont="1" applyBorder="1"/>
    <xf numFmtId="0" fontId="7" fillId="3" borderId="26" xfId="0" applyFont="1" applyFill="1" applyBorder="1" applyAlignment="1">
      <alignment horizontal="center" vertical="center"/>
    </xf>
    <xf numFmtId="164" fontId="7" fillId="3" borderId="26" xfId="0" applyNumberFormat="1" applyFont="1" applyFill="1" applyBorder="1" applyAlignment="1">
      <alignment horizontal="center" vertical="center"/>
    </xf>
    <xf numFmtId="164" fontId="5" fillId="0" borderId="25" xfId="0" applyNumberFormat="1" applyFont="1" applyBorder="1" applyAlignment="1">
      <alignment vertical="top" wrapText="1"/>
    </xf>
    <xf numFmtId="164" fontId="5" fillId="0" borderId="26" xfId="0" applyNumberFormat="1" applyFont="1" applyBorder="1" applyAlignment="1">
      <alignment vertical="top" wrapText="1"/>
    </xf>
    <xf numFmtId="0" fontId="5" fillId="0" borderId="28" xfId="0" applyFont="1" applyBorder="1" applyAlignment="1">
      <alignment vertical="top" wrapText="1"/>
    </xf>
    <xf numFmtId="164" fontId="5" fillId="0" borderId="28" xfId="0" applyNumberFormat="1" applyFont="1" applyBorder="1" applyAlignment="1">
      <alignment vertical="top" wrapText="1"/>
    </xf>
    <xf numFmtId="0" fontId="12" fillId="2" borderId="0" xfId="0" applyFont="1" applyFill="1"/>
    <xf numFmtId="0" fontId="12" fillId="0" borderId="0" xfId="0" applyFont="1"/>
    <xf numFmtId="0" fontId="12" fillId="4" borderId="0" xfId="0" applyFont="1" applyFill="1"/>
    <xf numFmtId="0" fontId="12" fillId="0" borderId="25" xfId="0" applyFont="1" applyBorder="1" applyAlignment="1">
      <alignment wrapText="1"/>
    </xf>
    <xf numFmtId="0" fontId="12" fillId="0" borderId="26" xfId="0" applyFont="1" applyBorder="1" applyAlignment="1">
      <alignment wrapText="1"/>
    </xf>
    <xf numFmtId="0" fontId="12" fillId="0" borderId="28" xfId="0" applyFont="1" applyBorder="1" applyAlignment="1">
      <alignment wrapText="1"/>
    </xf>
    <xf numFmtId="0" fontId="14" fillId="5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12" fillId="2" borderId="0" xfId="0" applyFont="1" applyFill="1"/>
    <xf numFmtId="0" fontId="4" fillId="2" borderId="0" xfId="0" applyFont="1" applyFill="1" applyAlignment="1">
      <alignment vertical="center"/>
    </xf>
    <xf numFmtId="0" fontId="12" fillId="0" borderId="0" xfId="0" applyFont="1"/>
    <xf numFmtId="0" fontId="2" fillId="2" borderId="0" xfId="0" applyFont="1" applyFill="1" applyAlignment="1">
      <alignment horizontal="center"/>
    </xf>
    <xf numFmtId="0" fontId="2" fillId="2" borderId="26" xfId="0" applyFont="1" applyFill="1" applyBorder="1" applyAlignment="1">
      <alignment horizontal="center" vertical="center"/>
    </xf>
    <xf numFmtId="164" fontId="2" fillId="2" borderId="26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5" fillId="0" borderId="25" xfId="0" applyFont="1" applyBorder="1" applyAlignment="1">
      <alignment vertical="top" wrapText="1"/>
    </xf>
    <xf numFmtId="0" fontId="5" fillId="0" borderId="26" xfId="0" applyFont="1" applyBorder="1" applyAlignment="1">
      <alignment vertical="top" wrapText="1"/>
    </xf>
    <xf numFmtId="0" fontId="5" fillId="0" borderId="28" xfId="0" applyFont="1" applyBorder="1" applyAlignment="1">
      <alignment vertical="top" wrapText="1"/>
    </xf>
    <xf numFmtId="0" fontId="0" fillId="2" borderId="0" xfId="0" applyFill="1"/>
    <xf numFmtId="0" fontId="0" fillId="0" borderId="0" xfId="0"/>
    <xf numFmtId="0" fontId="5" fillId="3" borderId="10" xfId="0" applyFont="1" applyFill="1" applyBorder="1" applyAlignment="1">
      <alignment vertical="center"/>
    </xf>
    <xf numFmtId="0" fontId="5" fillId="3" borderId="11" xfId="0" applyFont="1" applyFill="1" applyBorder="1" applyAlignment="1">
      <alignment vertical="center"/>
    </xf>
    <xf numFmtId="0" fontId="5" fillId="3" borderId="12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5" fillId="3" borderId="14" xfId="0" applyFont="1" applyFill="1" applyBorder="1" applyAlignment="1">
      <alignment vertical="center"/>
    </xf>
    <xf numFmtId="0" fontId="5" fillId="3" borderId="15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 wrapText="1"/>
    </xf>
    <xf numFmtId="0" fontId="13" fillId="5" borderId="20" xfId="0" applyFont="1" applyFill="1" applyBorder="1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8">
    <dxf>
      <font>
        <b/>
        <color rgb="FF1B5E2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color rgb="FF1B5E20"/>
      </font>
      <fill>
        <patternFill>
          <bgColor rgb="FFD9EAD3"/>
        </patternFill>
      </fill>
    </dxf>
    <dxf>
      <font>
        <b/>
        <color rgb="FF1B5E2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color rgb="FF212937"/>
      </font>
      <fill>
        <patternFill>
          <bgColor rgb="FFD9D9D9"/>
        </patternFill>
      </fill>
    </dxf>
    <dxf>
      <font>
        <color rgb="FF212937"/>
      </font>
      <fill>
        <patternFill>
          <bgColor rgb="FFDCE6F1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1B5E20"/>
      </font>
      <fill>
        <patternFill>
          <bgColor rgb="FFD9EAD3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0</xdr:col>
      <xdr:colOff>971550</xdr:colOff>
      <xdr:row>1</xdr:row>
      <xdr:rowOff>201930</xdr:rowOff>
    </xdr:to>
    <xdr:pic>
      <xdr:nvPicPr>
        <xdr:cNvPr id="2" name="/xl/media/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85725</xdr:rowOff>
    </xdr:from>
    <xdr:to>
      <xdr:col>0</xdr:col>
      <xdr:colOff>1019175</xdr:colOff>
      <xdr:row>1</xdr:row>
      <xdr:rowOff>215265</xdr:rowOff>
    </xdr:to>
    <xdr:pic>
      <xdr:nvPicPr>
        <xdr:cNvPr id="2" name="/xl/media/image1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iskMatrixTable" displayName="RiskMatrixTable" ref="A12:W66" totalsRowShown="0">
  <autoFilter ref="A12:W66" xr:uid="{00000000-0009-0000-0100-000001000000}"/>
  <tableColumns count="23">
    <tableColumn id="1" xr3:uid="{00000000-0010-0000-0000-000001000000}" name="Categoría"/>
    <tableColumn id="2" xr3:uid="{00000000-0010-0000-0000-000002000000}" name="Riesgo"/>
    <tableColumn id="3" xr3:uid="{00000000-0010-0000-0000-000003000000}" name="Causa principal"/>
    <tableColumn id="4" xr3:uid="{00000000-0010-0000-0000-000004000000}" name="Consecuencia"/>
    <tableColumn id="5" xr3:uid="{00000000-0010-0000-0000-000005000000}" name="Probabilidad inicial"/>
    <tableColumn id="6" xr3:uid="{00000000-0010-0000-0000-000006000000}" name="Impacto inicial"/>
    <tableColumn id="7" xr3:uid="{00000000-0010-0000-0000-000007000000}" name="Exposición inicial"/>
    <tableColumn id="8" xr3:uid="{00000000-0010-0000-0000-000008000000}" name="Nivel inicial"/>
    <tableColumn id="9" xr3:uid="{00000000-0010-0000-0000-000009000000}" name="Prioridad Jira"/>
    <tableColumn id="10" xr3:uid="{00000000-0010-0000-0000-00000A000000}" name="Respuesta"/>
    <tableColumn id="11" xr3:uid="{00000000-0010-0000-0000-00000B000000}" name="Acción preventiva"/>
    <tableColumn id="12" xr3:uid="{00000000-0010-0000-0000-00000C000000}" name="Acción de contingencia"/>
    <tableColumn id="13" xr3:uid="{00000000-0010-0000-0000-00000D000000}" name="Responsable"/>
    <tableColumn id="14" xr3:uid="{00000000-0010-0000-0000-00000E000000}" name="Indicador o alerta"/>
    <tableColumn id="15" xr3:uid="{00000000-0010-0000-0000-00000F000000}" name="Fecha de identificación"/>
    <tableColumn id="16" xr3:uid="{00000000-0010-0000-0000-000010000000}" name="Estado del riesgo"/>
    <tableColumn id="17" xr3:uid="{00000000-0010-0000-0000-000011000000}" name="Probabilidad residual"/>
    <tableColumn id="18" xr3:uid="{00000000-0010-0000-0000-000012000000}" name="Impacto residual"/>
    <tableColumn id="19" xr3:uid="{00000000-0010-0000-0000-000013000000}" name="Exposición residual"/>
    <tableColumn id="20" xr3:uid="{00000000-0010-0000-0000-000014000000}" name="Nivel residual"/>
    <tableColumn id="21" xr3:uid="{00000000-0010-0000-0000-000015000000}" name="Evidencia del tratamiento"/>
    <tableColumn id="22" xr3:uid="{00000000-0010-0000-0000-000016000000}" name="Fecha de revisión"/>
    <tableColumn id="23" xr3:uid="{00000000-0010-0000-0000-000017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A3966"/>
  </sheetPr>
  <dimension ref="A1:L29"/>
  <sheetViews>
    <sheetView showGridLines="0" workbookViewId="0"/>
  </sheetViews>
  <sheetFormatPr baseColWidth="10" defaultColWidth="8.796875" defaultRowHeight="13.8"/>
  <cols>
    <col min="1" max="1" width="25" customWidth="1"/>
    <col min="2" max="2" width="22" customWidth="1"/>
    <col min="3" max="3" width="34" customWidth="1"/>
    <col min="4" max="4" width="23" customWidth="1"/>
    <col min="5" max="5" width="15" customWidth="1"/>
    <col min="6" max="6" width="17" customWidth="1"/>
    <col min="7" max="7" width="3" customWidth="1"/>
    <col min="8" max="8" width="24" customWidth="1"/>
    <col min="9" max="9" width="37" customWidth="1"/>
    <col min="10" max="12" width="18" customWidth="1"/>
  </cols>
  <sheetData>
    <row r="1" spans="1:12" ht="25.05" customHeight="1">
      <c r="A1" s="41"/>
      <c r="B1" s="48" t="s">
        <v>0</v>
      </c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25.05" customHeight="1">
      <c r="A2" s="41"/>
      <c r="B2" s="50" t="s">
        <v>1</v>
      </c>
      <c r="C2" s="51"/>
      <c r="D2" s="51"/>
      <c r="E2" s="51"/>
      <c r="F2" s="51"/>
      <c r="G2" s="51"/>
      <c r="H2" s="51"/>
      <c r="I2" s="51"/>
      <c r="J2" s="51"/>
      <c r="K2" s="51"/>
      <c r="L2" s="51"/>
    </row>
    <row r="3" spans="1:12" ht="25.05" customHeight="1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</row>
    <row r="4" spans="1:12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12" ht="24" customHeight="1">
      <c r="A5" s="1" t="s">
        <v>2</v>
      </c>
      <c r="B5" s="3" t="s">
        <v>3</v>
      </c>
      <c r="C5" s="42"/>
      <c r="D5" s="27" t="s">
        <v>4</v>
      </c>
      <c r="E5" s="27" t="s">
        <v>5</v>
      </c>
      <c r="F5" s="27" t="s">
        <v>6</v>
      </c>
      <c r="G5" s="42"/>
      <c r="H5" s="52" t="s">
        <v>7</v>
      </c>
      <c r="I5" s="52"/>
      <c r="J5" s="52"/>
      <c r="K5" s="52"/>
      <c r="L5" s="52"/>
    </row>
    <row r="6" spans="1:12" ht="24" customHeight="1">
      <c r="A6" s="22" t="s">
        <v>8</v>
      </c>
      <c r="B6" s="24">
        <f>COUNTA('Matriz de riesgos'!A13:A66)</f>
        <v>54</v>
      </c>
      <c r="C6" s="42"/>
      <c r="D6" s="28" t="s">
        <v>9</v>
      </c>
      <c r="E6" s="28">
        <f>COUNTIF('Matriz de riesgos'!A13:A66,D6)</f>
        <v>2</v>
      </c>
      <c r="F6" s="30">
        <f>IFERROR(AVERAGEIF('Matriz de riesgos'!A13:A66,D6,'Matriz de riesgos'!G13:G66),0)</f>
        <v>16</v>
      </c>
      <c r="G6" s="42"/>
      <c r="H6" s="32" t="s">
        <v>10</v>
      </c>
      <c r="I6" s="44" t="s">
        <v>11</v>
      </c>
      <c r="J6" s="42"/>
      <c r="K6" s="42"/>
      <c r="L6" s="42"/>
    </row>
    <row r="7" spans="1:12" ht="24" customHeight="1">
      <c r="A7" s="22" t="s">
        <v>12</v>
      </c>
      <c r="B7" s="24">
        <f>COUNTIF('Matriz de riesgos'!H13:H66,"Crítico")</f>
        <v>2</v>
      </c>
      <c r="C7" s="42"/>
      <c r="D7" s="29" t="s">
        <v>13</v>
      </c>
      <c r="E7" s="29">
        <f>COUNTIF('Matriz de riesgos'!A13:A66,D7)</f>
        <v>3</v>
      </c>
      <c r="F7" s="31">
        <f>IFERROR(AVERAGEIF('Matriz de riesgos'!A13:A66,D7,'Matriz de riesgos'!G13:G66),0)</f>
        <v>13</v>
      </c>
      <c r="G7" s="42"/>
      <c r="H7" s="33" t="s">
        <v>14</v>
      </c>
      <c r="I7" s="45" t="s">
        <v>15</v>
      </c>
      <c r="J7" s="42"/>
      <c r="K7" s="42"/>
      <c r="L7" s="42"/>
    </row>
    <row r="8" spans="1:12" ht="24" customHeight="1">
      <c r="A8" s="22" t="s">
        <v>16</v>
      </c>
      <c r="B8" s="24">
        <f>COUNTIF('Matriz de riesgos'!H13:H66,"Alto")</f>
        <v>38</v>
      </c>
      <c r="C8" s="42"/>
      <c r="D8" s="29" t="s">
        <v>17</v>
      </c>
      <c r="E8" s="29">
        <f>COUNTIF('Matriz de riesgos'!A13:A66,D8)</f>
        <v>6</v>
      </c>
      <c r="F8" s="31">
        <f>IFERROR(AVERAGEIF('Matriz de riesgos'!A13:A66,D8,'Matriz de riesgos'!G13:G66),0)</f>
        <v>13.833333333333334</v>
      </c>
      <c r="G8" s="42"/>
      <c r="H8" s="33" t="s">
        <v>18</v>
      </c>
      <c r="I8" s="45" t="s">
        <v>19</v>
      </c>
      <c r="J8" s="42"/>
      <c r="K8" s="42"/>
      <c r="L8" s="42"/>
    </row>
    <row r="9" spans="1:12" ht="24" customHeight="1">
      <c r="A9" s="22" t="s">
        <v>20</v>
      </c>
      <c r="B9" s="24">
        <f>COUNTIF('Matriz de riesgos'!H13:H66,"Medio")</f>
        <v>14</v>
      </c>
      <c r="C9" s="42"/>
      <c r="D9" s="29" t="s">
        <v>21</v>
      </c>
      <c r="E9" s="29">
        <f>COUNTIF('Matriz de riesgos'!A13:A66,D9)</f>
        <v>6</v>
      </c>
      <c r="F9" s="31">
        <f>IFERROR(AVERAGEIF('Matriz de riesgos'!A13:A66,D9,'Matriz de riesgos'!G13:G66),0)</f>
        <v>12</v>
      </c>
      <c r="G9" s="42"/>
      <c r="H9" s="33" t="s">
        <v>22</v>
      </c>
      <c r="I9" s="45" t="s">
        <v>490</v>
      </c>
      <c r="J9" s="42"/>
      <c r="K9" s="42"/>
      <c r="L9" s="42"/>
    </row>
    <row r="10" spans="1:12" ht="24" customHeight="1">
      <c r="A10" s="22" t="s">
        <v>23</v>
      </c>
      <c r="B10" s="24">
        <f>COUNTIF('Matriz de riesgos'!H13:H66,"Bajo")</f>
        <v>0</v>
      </c>
      <c r="C10" s="42"/>
      <c r="D10" s="29" t="s">
        <v>24</v>
      </c>
      <c r="E10" s="29">
        <f>COUNTIF('Matriz de riesgos'!A13:A66,D10)</f>
        <v>2</v>
      </c>
      <c r="F10" s="31">
        <f>IFERROR(AVERAGEIF('Matriz de riesgos'!A13:A66,D10,'Matriz de riesgos'!G13:G66),0)</f>
        <v>12</v>
      </c>
      <c r="G10" s="42"/>
      <c r="H10" s="33" t="s">
        <v>25</v>
      </c>
      <c r="I10" s="45" t="s">
        <v>491</v>
      </c>
      <c r="J10" s="42"/>
      <c r="K10" s="42"/>
      <c r="L10" s="42"/>
    </row>
    <row r="11" spans="1:12" ht="24" customHeight="1">
      <c r="A11" s="22" t="s">
        <v>26</v>
      </c>
      <c r="B11" s="24">
        <f>COUNTIF('Matriz de riesgos'!P13:P66,"En tratamiento")</f>
        <v>13</v>
      </c>
      <c r="C11" s="42"/>
      <c r="D11" s="29" t="s">
        <v>27</v>
      </c>
      <c r="E11" s="29">
        <f>COUNTIF('Matriz de riesgos'!A13:A66,D11)</f>
        <v>5</v>
      </c>
      <c r="F11" s="31">
        <f>IFERROR(AVERAGEIF('Matriz de riesgos'!A13:A66,D11,'Matriz de riesgos'!G13:G66),0)</f>
        <v>11.4</v>
      </c>
      <c r="G11" s="42"/>
      <c r="H11" s="33" t="s">
        <v>28</v>
      </c>
      <c r="I11" s="45" t="s">
        <v>29</v>
      </c>
      <c r="J11" s="42"/>
      <c r="K11" s="42"/>
      <c r="L11" s="42"/>
    </row>
    <row r="12" spans="1:12" ht="24" customHeight="1">
      <c r="A12" s="22" t="s">
        <v>30</v>
      </c>
      <c r="B12" s="24">
        <f>COUNTIF('Matriz de riesgos'!P13:P66,"Materializado")</f>
        <v>0</v>
      </c>
      <c r="C12" s="42"/>
      <c r="D12" s="29" t="s">
        <v>31</v>
      </c>
      <c r="E12" s="29">
        <f>COUNTIF('Matriz de riesgos'!A13:A66,D12)</f>
        <v>2</v>
      </c>
      <c r="F12" s="31">
        <f>IFERROR(AVERAGEIF('Matriz de riesgos'!A13:A66,D12,'Matriz de riesgos'!G13:G66),0)</f>
        <v>12.5</v>
      </c>
      <c r="G12" s="42"/>
      <c r="H12" s="33" t="s">
        <v>32</v>
      </c>
      <c r="I12" s="45" t="s">
        <v>492</v>
      </c>
      <c r="J12" s="42"/>
      <c r="K12" s="42"/>
      <c r="L12" s="42"/>
    </row>
    <row r="13" spans="1:12" ht="24" customHeight="1">
      <c r="A13" s="22" t="s">
        <v>33</v>
      </c>
      <c r="B13" s="26">
        <f>IFERROR(AVERAGE('Matriz de riesgos'!G13:G66),0)</f>
        <v>11.962962962962964</v>
      </c>
      <c r="C13" s="42"/>
      <c r="D13" s="29" t="s">
        <v>34</v>
      </c>
      <c r="E13" s="29">
        <f>COUNTIF('Matriz de riesgos'!A13:A66,D13)</f>
        <v>3</v>
      </c>
      <c r="F13" s="31">
        <f>IFERROR(AVERAGEIF('Matriz de riesgos'!A13:A66,D13,'Matriz de riesgos'!G13:G66),0)</f>
        <v>8</v>
      </c>
      <c r="G13" s="42"/>
      <c r="H13" s="33" t="s">
        <v>35</v>
      </c>
      <c r="I13" s="45" t="s">
        <v>36</v>
      </c>
      <c r="J13" s="42"/>
      <c r="K13" s="42"/>
      <c r="L13" s="42"/>
    </row>
    <row r="14" spans="1:12" ht="24" customHeight="1">
      <c r="A14" s="23" t="s">
        <v>37</v>
      </c>
      <c r="B14" s="25" t="str">
        <f>'Matriz de riesgos'!U8</f>
        <v>ATENCIÓN INMEDIATA</v>
      </c>
      <c r="C14" s="42"/>
      <c r="D14" s="29" t="s">
        <v>38</v>
      </c>
      <c r="E14" s="29">
        <f>COUNTIF('Matriz de riesgos'!A13:A66,D14)</f>
        <v>2</v>
      </c>
      <c r="F14" s="31">
        <f>IFERROR(AVERAGEIF('Matriz de riesgos'!A13:A66,D14,'Matriz de riesgos'!G13:G66),0)</f>
        <v>9</v>
      </c>
      <c r="G14" s="42"/>
      <c r="H14" s="33" t="s">
        <v>39</v>
      </c>
      <c r="I14" s="45" t="s">
        <v>40</v>
      </c>
      <c r="J14" s="42"/>
      <c r="K14" s="42"/>
      <c r="L14" s="42"/>
    </row>
    <row r="15" spans="1:12" ht="24" customHeight="1">
      <c r="A15" s="42"/>
      <c r="B15" s="42"/>
      <c r="C15" s="42"/>
      <c r="D15" s="29" t="s">
        <v>41</v>
      </c>
      <c r="E15" s="29">
        <f>COUNTIF('Matriz de riesgos'!A13:A66,D15)</f>
        <v>3</v>
      </c>
      <c r="F15" s="31">
        <f>IFERROR(AVERAGEIF('Matriz de riesgos'!A13:A66,D15,'Matriz de riesgos'!G13:G66),0)</f>
        <v>10.333333333333334</v>
      </c>
      <c r="G15" s="42"/>
      <c r="H15" s="33" t="s">
        <v>42</v>
      </c>
      <c r="I15" s="45" t="s">
        <v>43</v>
      </c>
      <c r="J15" s="42"/>
      <c r="K15" s="42"/>
      <c r="L15" s="42"/>
    </row>
    <row r="16" spans="1:12" ht="24" customHeight="1">
      <c r="A16" s="42"/>
      <c r="B16" s="42"/>
      <c r="C16" s="42"/>
      <c r="D16" s="29" t="s">
        <v>44</v>
      </c>
      <c r="E16" s="29">
        <f>COUNTIF('Matriz de riesgos'!A13:A66,D16)</f>
        <v>2</v>
      </c>
      <c r="F16" s="31">
        <f>IFERROR(AVERAGEIF('Matriz de riesgos'!A13:A66,D16,'Matriz de riesgos'!G13:G66),0)</f>
        <v>8.5</v>
      </c>
      <c r="G16" s="42"/>
      <c r="H16" s="33" t="s">
        <v>45</v>
      </c>
      <c r="I16" s="45" t="s">
        <v>46</v>
      </c>
      <c r="J16" s="42"/>
      <c r="K16" s="42"/>
      <c r="L16" s="42"/>
    </row>
    <row r="17" spans="1:12" ht="24" customHeight="1">
      <c r="A17" s="42"/>
      <c r="B17" s="42"/>
      <c r="C17" s="42"/>
      <c r="D17" s="29" t="s">
        <v>47</v>
      </c>
      <c r="E17" s="29">
        <f>COUNTIF('Matriz de riesgos'!A13:A66,D17)</f>
        <v>1</v>
      </c>
      <c r="F17" s="31">
        <f>IFERROR(AVERAGEIF('Matriz de riesgos'!A13:A66,D17,'Matriz de riesgos'!G13:G66),0)</f>
        <v>12</v>
      </c>
      <c r="G17" s="42"/>
      <c r="H17" s="34" t="s">
        <v>48</v>
      </c>
      <c r="I17" s="46" t="s">
        <v>49</v>
      </c>
      <c r="J17" s="42"/>
      <c r="K17" s="42"/>
      <c r="L17" s="42"/>
    </row>
    <row r="18" spans="1:12" ht="24" customHeight="1">
      <c r="A18" s="52" t="s">
        <v>50</v>
      </c>
      <c r="B18" s="52"/>
      <c r="C18" s="52"/>
      <c r="D18" s="53"/>
      <c r="E18" s="53"/>
      <c r="F18" s="54"/>
      <c r="G18" s="42"/>
      <c r="H18" s="42"/>
      <c r="I18" s="42"/>
      <c r="J18" s="42"/>
      <c r="K18" s="42"/>
      <c r="L18" s="42"/>
    </row>
    <row r="19" spans="1:12" ht="24" customHeight="1">
      <c r="A19" s="12" t="s">
        <v>51</v>
      </c>
      <c r="B19" s="12" t="s">
        <v>52</v>
      </c>
      <c r="C19" s="12" t="s">
        <v>53</v>
      </c>
      <c r="D19" s="35" t="s">
        <v>54</v>
      </c>
      <c r="E19" s="35" t="s">
        <v>55</v>
      </c>
      <c r="F19" s="36" t="s">
        <v>25</v>
      </c>
      <c r="G19" s="42"/>
      <c r="H19" s="12" t="s">
        <v>56</v>
      </c>
      <c r="I19" s="12" t="s">
        <v>57</v>
      </c>
      <c r="J19" s="55" t="s">
        <v>58</v>
      </c>
      <c r="K19" s="55" t="s">
        <v>25</v>
      </c>
      <c r="L19" s="12"/>
    </row>
    <row r="20" spans="1:12" ht="24" customHeight="1">
      <c r="A20" s="16" t="s">
        <v>59</v>
      </c>
      <c r="B20" s="16" t="s">
        <v>29</v>
      </c>
      <c r="C20" s="16" t="s">
        <v>60</v>
      </c>
      <c r="D20" s="16" t="s">
        <v>61</v>
      </c>
      <c r="E20" s="16" t="s">
        <v>62</v>
      </c>
      <c r="F20" s="37" t="s">
        <v>63</v>
      </c>
      <c r="G20" s="42"/>
      <c r="H20" s="16" t="s">
        <v>64</v>
      </c>
      <c r="I20" s="16" t="s">
        <v>65</v>
      </c>
      <c r="J20" s="56" t="s">
        <v>66</v>
      </c>
      <c r="K20" s="56"/>
      <c r="L20" s="16" t="s">
        <v>67</v>
      </c>
    </row>
    <row r="21" spans="1:12" ht="24" customHeight="1">
      <c r="A21" s="17" t="s">
        <v>68</v>
      </c>
      <c r="B21" s="17" t="s">
        <v>69</v>
      </c>
      <c r="C21" s="17" t="s">
        <v>70</v>
      </c>
      <c r="D21" s="17" t="s">
        <v>64</v>
      </c>
      <c r="E21" s="17" t="s">
        <v>62</v>
      </c>
      <c r="F21" s="38" t="s">
        <v>63</v>
      </c>
      <c r="G21" s="42"/>
      <c r="H21" s="17" t="s">
        <v>62</v>
      </c>
      <c r="I21" s="17" t="s">
        <v>71</v>
      </c>
      <c r="J21" s="57" t="s">
        <v>72</v>
      </c>
      <c r="K21" s="57"/>
      <c r="L21" s="17" t="s">
        <v>67</v>
      </c>
    </row>
    <row r="22" spans="1:12" ht="24" customHeight="1">
      <c r="A22" s="17" t="s">
        <v>73</v>
      </c>
      <c r="B22" s="17" t="s">
        <v>74</v>
      </c>
      <c r="C22" s="17" t="s">
        <v>75</v>
      </c>
      <c r="D22" s="17" t="s">
        <v>76</v>
      </c>
      <c r="E22" s="17" t="s">
        <v>77</v>
      </c>
      <c r="F22" s="38" t="s">
        <v>63</v>
      </c>
      <c r="G22" s="42"/>
      <c r="H22" s="17" t="s">
        <v>61</v>
      </c>
      <c r="I22" s="17" t="s">
        <v>78</v>
      </c>
      <c r="J22" s="57" t="s">
        <v>79</v>
      </c>
      <c r="K22" s="57"/>
      <c r="L22" s="17" t="s">
        <v>67</v>
      </c>
    </row>
    <row r="23" spans="1:12" ht="24" customHeight="1">
      <c r="A23" s="17" t="s">
        <v>80</v>
      </c>
      <c r="B23" s="17" t="s">
        <v>81</v>
      </c>
      <c r="C23" s="17" t="s">
        <v>82</v>
      </c>
      <c r="D23" s="17" t="s">
        <v>83</v>
      </c>
      <c r="E23" s="17" t="s">
        <v>77</v>
      </c>
      <c r="F23" s="38" t="s">
        <v>63</v>
      </c>
      <c r="G23" s="42"/>
      <c r="H23" s="17" t="s">
        <v>77</v>
      </c>
      <c r="I23" s="17" t="s">
        <v>84</v>
      </c>
      <c r="J23" s="57" t="s">
        <v>85</v>
      </c>
      <c r="K23" s="57"/>
      <c r="L23" s="17" t="s">
        <v>67</v>
      </c>
    </row>
    <row r="24" spans="1:12" ht="24" customHeight="1">
      <c r="A24" s="17" t="s">
        <v>86</v>
      </c>
      <c r="B24" s="17" t="s">
        <v>87</v>
      </c>
      <c r="C24" s="17" t="s">
        <v>88</v>
      </c>
      <c r="D24" s="17" t="s">
        <v>89</v>
      </c>
      <c r="E24" s="17" t="s">
        <v>64</v>
      </c>
      <c r="F24" s="38" t="s">
        <v>63</v>
      </c>
      <c r="G24" s="42"/>
      <c r="H24" s="39" t="s">
        <v>90</v>
      </c>
      <c r="I24" s="39" t="s">
        <v>91</v>
      </c>
      <c r="J24" s="58" t="s">
        <v>92</v>
      </c>
      <c r="K24" s="58"/>
      <c r="L24" s="39" t="s">
        <v>93</v>
      </c>
    </row>
    <row r="25" spans="1:12" ht="24" customHeight="1">
      <c r="A25" s="17" t="s">
        <v>94</v>
      </c>
      <c r="B25" s="17" t="s">
        <v>95</v>
      </c>
      <c r="C25" s="17" t="s">
        <v>96</v>
      </c>
      <c r="D25" s="17" t="s">
        <v>97</v>
      </c>
      <c r="E25" s="17" t="s">
        <v>64</v>
      </c>
      <c r="F25" s="38" t="s">
        <v>63</v>
      </c>
      <c r="G25" s="42"/>
      <c r="H25" s="42"/>
      <c r="I25" s="42"/>
      <c r="J25" s="42"/>
      <c r="K25" s="42"/>
      <c r="L25" s="42"/>
    </row>
    <row r="26" spans="1:12" ht="24" customHeight="1">
      <c r="A26" s="17" t="s">
        <v>98</v>
      </c>
      <c r="B26" s="17" t="s">
        <v>99</v>
      </c>
      <c r="C26" s="17" t="s">
        <v>100</v>
      </c>
      <c r="D26" s="17" t="s">
        <v>62</v>
      </c>
      <c r="E26" s="17" t="s">
        <v>64</v>
      </c>
      <c r="F26" s="38" t="s">
        <v>63</v>
      </c>
      <c r="G26" s="42"/>
      <c r="H26" s="42"/>
      <c r="I26" s="42"/>
      <c r="J26" s="42"/>
      <c r="K26" s="42"/>
      <c r="L26" s="42"/>
    </row>
    <row r="27" spans="1:12" ht="24" customHeight="1">
      <c r="A27" s="17" t="s">
        <v>101</v>
      </c>
      <c r="B27" s="17" t="s">
        <v>99</v>
      </c>
      <c r="C27" s="17" t="s">
        <v>102</v>
      </c>
      <c r="D27" s="17" t="s">
        <v>103</v>
      </c>
      <c r="E27" s="17" t="s">
        <v>61</v>
      </c>
      <c r="F27" s="38" t="s">
        <v>63</v>
      </c>
      <c r="G27" s="42"/>
      <c r="H27" s="42"/>
      <c r="I27" s="42"/>
      <c r="J27" s="42"/>
      <c r="K27" s="42"/>
      <c r="L27" s="42"/>
    </row>
    <row r="28" spans="1:12" ht="24" customHeight="1">
      <c r="A28" s="17" t="s">
        <v>104</v>
      </c>
      <c r="B28" s="17" t="s">
        <v>105</v>
      </c>
      <c r="C28" s="17" t="s">
        <v>106</v>
      </c>
      <c r="D28" s="17" t="s">
        <v>107</v>
      </c>
      <c r="E28" s="17" t="s">
        <v>64</v>
      </c>
      <c r="F28" s="38" t="s">
        <v>67</v>
      </c>
      <c r="G28" s="42"/>
      <c r="H28" s="42"/>
      <c r="I28" s="42"/>
      <c r="J28" s="42"/>
      <c r="K28" s="42"/>
      <c r="L28" s="42"/>
    </row>
    <row r="29" spans="1:12" ht="24" customHeight="1">
      <c r="A29" s="39" t="s">
        <v>490</v>
      </c>
      <c r="B29" s="39" t="s">
        <v>492</v>
      </c>
      <c r="C29" s="39" t="s">
        <v>493</v>
      </c>
      <c r="D29" s="39" t="s">
        <v>494</v>
      </c>
      <c r="E29" s="39" t="s">
        <v>64</v>
      </c>
      <c r="F29" s="40" t="s">
        <v>491</v>
      </c>
      <c r="G29" s="42"/>
      <c r="H29" s="42"/>
      <c r="I29" s="42"/>
      <c r="J29" s="42"/>
      <c r="K29" s="42"/>
      <c r="L29" s="42"/>
    </row>
  </sheetData>
  <mergeCells count="10">
    <mergeCell ref="J20:K20"/>
    <mergeCell ref="J21:K21"/>
    <mergeCell ref="J22:K22"/>
    <mergeCell ref="J23:K23"/>
    <mergeCell ref="J24:K24"/>
    <mergeCell ref="B1:L1"/>
    <mergeCell ref="B2:L2"/>
    <mergeCell ref="H5:L5"/>
    <mergeCell ref="A18:F18"/>
    <mergeCell ref="J19:K19"/>
  </mergeCells>
  <conditionalFormatting sqref="B14">
    <cfRule type="containsText" dxfId="17" priority="1" operator="containsText" text="ATENCIÓN"/>
    <cfRule type="containsText" dxfId="16" priority="2" operator="containsText" text="PRIORITARIO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2351"/>
  </sheetPr>
  <dimension ref="A1:W66"/>
  <sheetViews>
    <sheetView showGridLines="0" tabSelected="1" workbookViewId="0">
      <pane xSplit="2" ySplit="12" topLeftCell="L26" activePane="bottomRight" state="frozen"/>
      <selection pane="topRight"/>
      <selection pane="bottomLeft"/>
      <selection pane="bottomRight" activeCell="P14" sqref="P14"/>
    </sheetView>
  </sheetViews>
  <sheetFormatPr baseColWidth="10" defaultColWidth="8.796875" defaultRowHeight="13.8"/>
  <cols>
    <col min="1" max="1" width="16" customWidth="1"/>
    <col min="2" max="2" width="31" customWidth="1"/>
    <col min="3" max="3" width="33" customWidth="1"/>
    <col min="4" max="4" width="31" customWidth="1"/>
    <col min="5" max="5" width="13" customWidth="1"/>
    <col min="6" max="6" width="12" customWidth="1"/>
    <col min="7" max="10" width="13" customWidth="1"/>
    <col min="11" max="12" width="35" customWidth="1"/>
    <col min="13" max="13" width="25" customWidth="1"/>
    <col min="14" max="14" width="29" customWidth="1"/>
    <col min="15" max="15" width="15" customWidth="1"/>
    <col min="16" max="16" width="17" customWidth="1"/>
    <col min="17" max="17" width="13" customWidth="1"/>
    <col min="18" max="18" width="12" customWidth="1"/>
    <col min="19" max="19" width="14" customWidth="1"/>
    <col min="20" max="20" width="13" customWidth="1"/>
    <col min="21" max="21" width="30" customWidth="1"/>
    <col min="22" max="22" width="15" customWidth="1"/>
    <col min="23" max="23" width="28" customWidth="1"/>
  </cols>
  <sheetData>
    <row r="1" spans="1:23" ht="25.05" customHeight="1">
      <c r="A1" s="10"/>
      <c r="B1" s="10"/>
      <c r="C1" s="48" t="s">
        <v>0</v>
      </c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</row>
    <row r="2" spans="1:23" ht="25.05" customHeight="1">
      <c r="A2" s="10"/>
      <c r="B2" s="10"/>
      <c r="C2" s="50" t="s">
        <v>15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</row>
    <row r="3" spans="1:23" ht="22.05" customHeight="1">
      <c r="A3" s="61" t="s">
        <v>108</v>
      </c>
      <c r="B3" s="62"/>
      <c r="C3" s="62"/>
      <c r="D3" s="62"/>
      <c r="E3" s="62" t="s">
        <v>109</v>
      </c>
      <c r="F3" s="62"/>
      <c r="G3" s="62"/>
      <c r="H3" s="62"/>
      <c r="I3" s="62" t="s">
        <v>495</v>
      </c>
      <c r="J3" s="62"/>
      <c r="K3" s="62"/>
      <c r="L3" s="62"/>
      <c r="M3" s="62" t="s">
        <v>496</v>
      </c>
      <c r="N3" s="62"/>
      <c r="O3" s="62"/>
      <c r="P3" s="62"/>
      <c r="Q3" s="62"/>
      <c r="R3" s="62" t="s">
        <v>110</v>
      </c>
      <c r="S3" s="62"/>
      <c r="T3" s="62"/>
      <c r="U3" s="62"/>
      <c r="V3" s="62"/>
      <c r="W3" s="63"/>
    </row>
    <row r="4" spans="1:23" ht="22.05" customHeight="1">
      <c r="A4" s="64" t="s">
        <v>111</v>
      </c>
      <c r="B4" s="65"/>
      <c r="C4" s="65"/>
      <c r="D4" s="65"/>
      <c r="E4" s="65" t="s">
        <v>112</v>
      </c>
      <c r="F4" s="65"/>
      <c r="G4" s="65"/>
      <c r="H4" s="65"/>
      <c r="I4" s="65" t="s">
        <v>113</v>
      </c>
      <c r="J4" s="65"/>
      <c r="K4" s="65"/>
      <c r="L4" s="65"/>
      <c r="M4" s="65" t="s">
        <v>114</v>
      </c>
      <c r="N4" s="65"/>
      <c r="O4" s="65"/>
      <c r="P4" s="65"/>
      <c r="Q4" s="65"/>
      <c r="R4" s="65" t="s">
        <v>115</v>
      </c>
      <c r="S4" s="65"/>
      <c r="T4" s="65"/>
      <c r="U4" s="65"/>
      <c r="V4" s="65"/>
      <c r="W4" s="66"/>
    </row>
    <row r="5" spans="1:2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spans="1:23" ht="24" customHeight="1">
      <c r="A6" s="68" t="s">
        <v>116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</row>
    <row r="7" spans="1:23" ht="24" customHeight="1">
      <c r="A7" s="69" t="s">
        <v>8</v>
      </c>
      <c r="B7" s="69"/>
      <c r="C7" s="69"/>
      <c r="E7" s="69" t="s">
        <v>12</v>
      </c>
      <c r="F7" s="69"/>
      <c r="G7" s="69"/>
      <c r="I7" s="69" t="s">
        <v>16</v>
      </c>
      <c r="J7" s="69"/>
      <c r="K7" s="69"/>
      <c r="M7" s="69" t="s">
        <v>26</v>
      </c>
      <c r="N7" s="69"/>
      <c r="O7" s="69"/>
      <c r="Q7" s="69" t="s">
        <v>30</v>
      </c>
      <c r="R7" s="69"/>
      <c r="S7" s="69"/>
      <c r="U7" s="69" t="s">
        <v>37</v>
      </c>
      <c r="V7" s="69"/>
      <c r="W7" s="69"/>
    </row>
    <row r="8" spans="1:23" ht="24" customHeight="1">
      <c r="A8" s="70">
        <f>COUNTA(A13:A66)</f>
        <v>54</v>
      </c>
      <c r="B8" s="71"/>
      <c r="C8" s="72"/>
      <c r="E8" s="70">
        <f>COUNTIF(H13:H66,"Crítico")</f>
        <v>2</v>
      </c>
      <c r="F8" s="71"/>
      <c r="G8" s="72"/>
      <c r="I8" s="70">
        <f>COUNTIF(H13:H66,"Alto")</f>
        <v>38</v>
      </c>
      <c r="J8" s="71"/>
      <c r="K8" s="72"/>
      <c r="M8" s="70">
        <f>COUNTIF(P13:P66,"En tratamiento")</f>
        <v>13</v>
      </c>
      <c r="N8" s="71"/>
      <c r="O8" s="72"/>
      <c r="Q8" s="70">
        <f>COUNTIF(P13:P66,"Materializado")</f>
        <v>0</v>
      </c>
      <c r="R8" s="71"/>
      <c r="S8" s="72"/>
      <c r="U8" s="70" t="str">
        <f>IF(E8&gt;0,"ATENCIÓN INMEDIATA",IF(I8&gt;0,"TRATAMIENTO PRIORITARIO",IF(COUNTIF(H13:H66,"Medio")&gt;0,"SEGUIMIENTO","CONTROLADO")))</f>
        <v>ATENCIÓN INMEDIATA</v>
      </c>
      <c r="V8" s="71"/>
      <c r="W8" s="72"/>
    </row>
    <row r="9" spans="1:23" ht="28.05" customHeight="1">
      <c r="A9" s="73" t="s">
        <v>497</v>
      </c>
      <c r="B9" s="74"/>
      <c r="C9" s="75"/>
      <c r="D9" s="47"/>
      <c r="E9" s="73"/>
      <c r="F9" s="74"/>
      <c r="G9" s="75"/>
      <c r="H9" s="47"/>
      <c r="I9" s="73"/>
      <c r="J9" s="74"/>
      <c r="K9" s="75"/>
      <c r="L9" s="47"/>
      <c r="M9" s="73"/>
      <c r="N9" s="74"/>
      <c r="O9" s="75"/>
      <c r="P9" s="47"/>
      <c r="Q9" s="73"/>
      <c r="R9" s="74"/>
      <c r="S9" s="75"/>
      <c r="T9" s="47"/>
      <c r="U9" s="73"/>
      <c r="V9" s="74"/>
      <c r="W9" s="75"/>
    </row>
    <row r="10" spans="1:23" ht="24" customHeight="1">
      <c r="A10" s="67" t="s">
        <v>117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</row>
    <row r="12" spans="1:23" ht="42" customHeight="1">
      <c r="A12" s="13" t="s">
        <v>4</v>
      </c>
      <c r="B12" s="14" t="s">
        <v>118</v>
      </c>
      <c r="C12" s="14" t="s">
        <v>119</v>
      </c>
      <c r="D12" s="14" t="s">
        <v>120</v>
      </c>
      <c r="E12" s="14" t="s">
        <v>121</v>
      </c>
      <c r="F12" s="14" t="s">
        <v>122</v>
      </c>
      <c r="G12" s="14" t="s">
        <v>123</v>
      </c>
      <c r="H12" s="14" t="s">
        <v>124</v>
      </c>
      <c r="I12" s="14" t="s">
        <v>125</v>
      </c>
      <c r="J12" s="14" t="s">
        <v>126</v>
      </c>
      <c r="K12" s="14" t="s">
        <v>127</v>
      </c>
      <c r="L12" s="14" t="s">
        <v>128</v>
      </c>
      <c r="M12" s="14" t="s">
        <v>54</v>
      </c>
      <c r="N12" s="14" t="s">
        <v>129</v>
      </c>
      <c r="O12" s="14" t="s">
        <v>130</v>
      </c>
      <c r="P12" s="14" t="s">
        <v>131</v>
      </c>
      <c r="Q12" s="14" t="s">
        <v>132</v>
      </c>
      <c r="R12" s="14" t="s">
        <v>133</v>
      </c>
      <c r="S12" s="14" t="s">
        <v>134</v>
      </c>
      <c r="T12" s="14" t="s">
        <v>135</v>
      </c>
      <c r="U12" s="14" t="s">
        <v>136</v>
      </c>
      <c r="V12" s="14" t="s">
        <v>137</v>
      </c>
      <c r="W12" s="15" t="s">
        <v>138</v>
      </c>
    </row>
    <row r="13" spans="1:23" ht="66" customHeight="1">
      <c r="A13" s="16" t="s">
        <v>9</v>
      </c>
      <c r="B13" s="16" t="s">
        <v>139</v>
      </c>
      <c r="C13" s="16" t="s">
        <v>140</v>
      </c>
      <c r="D13" s="16" t="s">
        <v>141</v>
      </c>
      <c r="E13" s="16">
        <v>4</v>
      </c>
      <c r="F13" s="16">
        <v>5</v>
      </c>
      <c r="G13" s="16">
        <f t="shared" ref="G13:G44" si="0">IF(OR(E13="",F13=""),"",E13*F13)</f>
        <v>20</v>
      </c>
      <c r="H13" s="16" t="str">
        <f t="shared" ref="H13:H44" si="1">IF(G13="","",IF(G13&gt;=17,"Crítico",IF(G13&gt;=10,"Alto",IF(G13&gt;=5,"Medio","Bajo"))))</f>
        <v>Crítico</v>
      </c>
      <c r="I13" s="16" t="str">
        <f t="shared" ref="I13:I44" si="2">IF(H13="","",IF(H13="Crítico","Highest",IF(H13="Alto","High",IF(H13="Medio","Low","Lowest"))))</f>
        <v>Highest</v>
      </c>
      <c r="J13" s="16" t="s">
        <v>142</v>
      </c>
      <c r="K13" s="16" t="s">
        <v>143</v>
      </c>
      <c r="L13" s="16" t="s">
        <v>144</v>
      </c>
      <c r="M13" s="16" t="s">
        <v>64</v>
      </c>
      <c r="N13" s="16" t="s">
        <v>145</v>
      </c>
      <c r="O13" s="19">
        <v>46272</v>
      </c>
      <c r="P13" s="16" t="s">
        <v>484</v>
      </c>
      <c r="Q13" s="16">
        <v>2</v>
      </c>
      <c r="R13" s="16">
        <v>4</v>
      </c>
      <c r="S13" s="16">
        <f t="shared" ref="S13" si="3">IF(OR(Q13="",R13=""),"",Q13*R13)</f>
        <v>8</v>
      </c>
      <c r="T13" s="16" t="str">
        <f t="shared" ref="T13" si="4">IF(S13="","",IF(S13&gt;=17,"Crítico",IF(S13&gt;=10,"Alto",IF(S13&gt;=5,"Medio","Bajo"))))</f>
        <v>Medio</v>
      </c>
      <c r="U13" s="16" t="s">
        <v>498</v>
      </c>
      <c r="V13" s="19">
        <v>46291</v>
      </c>
      <c r="W13" s="16" t="s">
        <v>499</v>
      </c>
    </row>
    <row r="14" spans="1:23" ht="66" customHeight="1">
      <c r="A14" s="17" t="s">
        <v>9</v>
      </c>
      <c r="B14" s="17" t="s">
        <v>146</v>
      </c>
      <c r="C14" s="17" t="s">
        <v>147</v>
      </c>
      <c r="D14" s="17" t="s">
        <v>148</v>
      </c>
      <c r="E14" s="17">
        <v>3</v>
      </c>
      <c r="F14" s="17">
        <v>4</v>
      </c>
      <c r="G14" s="17">
        <f t="shared" si="0"/>
        <v>12</v>
      </c>
      <c r="H14" s="17" t="str">
        <f t="shared" si="1"/>
        <v>Alto</v>
      </c>
      <c r="I14" s="17" t="str">
        <f t="shared" si="2"/>
        <v>High</v>
      </c>
      <c r="J14" s="17" t="s">
        <v>149</v>
      </c>
      <c r="K14" s="17" t="s">
        <v>150</v>
      </c>
      <c r="L14" s="17" t="s">
        <v>151</v>
      </c>
      <c r="M14" s="17" t="s">
        <v>62</v>
      </c>
      <c r="N14" s="17" t="s">
        <v>152</v>
      </c>
      <c r="O14" s="20">
        <v>46272</v>
      </c>
      <c r="P14" s="17" t="s">
        <v>484</v>
      </c>
      <c r="Q14" s="17">
        <v>1</v>
      </c>
      <c r="R14" s="17">
        <v>4</v>
      </c>
      <c r="S14" s="16">
        <f t="shared" ref="S14:S45" si="5">IF(OR(Q14="",R14=""),"",Q14*R14)</f>
        <v>4</v>
      </c>
      <c r="T14" s="16" t="str">
        <f t="shared" ref="T14:T45" si="6">IF(S14="","",IF(S14&gt;=17,"Crítico",IF(S14&gt;=10,"Alto",IF(S14&gt;=5,"Medio","Bajo"))))</f>
        <v>Bajo</v>
      </c>
      <c r="U14" s="17" t="s">
        <v>498</v>
      </c>
      <c r="V14" s="20">
        <v>46292</v>
      </c>
      <c r="W14" s="17" t="s">
        <v>500</v>
      </c>
    </row>
    <row r="15" spans="1:23" ht="66" customHeight="1">
      <c r="A15" s="17" t="s">
        <v>13</v>
      </c>
      <c r="B15" s="17" t="s">
        <v>153</v>
      </c>
      <c r="C15" s="17" t="s">
        <v>154</v>
      </c>
      <c r="D15" s="17" t="s">
        <v>155</v>
      </c>
      <c r="E15" s="17">
        <v>3</v>
      </c>
      <c r="F15" s="17">
        <v>5</v>
      </c>
      <c r="G15" s="17">
        <f t="shared" si="0"/>
        <v>15</v>
      </c>
      <c r="H15" s="17" t="str">
        <f t="shared" si="1"/>
        <v>Alto</v>
      </c>
      <c r="I15" s="17" t="str">
        <f t="shared" si="2"/>
        <v>High</v>
      </c>
      <c r="J15" s="17" t="s">
        <v>149</v>
      </c>
      <c r="K15" s="17" t="s">
        <v>156</v>
      </c>
      <c r="L15" s="17" t="s">
        <v>157</v>
      </c>
      <c r="M15" s="17" t="s">
        <v>64</v>
      </c>
      <c r="N15" s="17" t="s">
        <v>158</v>
      </c>
      <c r="O15" s="20">
        <v>46272</v>
      </c>
      <c r="P15" s="17" t="s">
        <v>484</v>
      </c>
      <c r="Q15" s="17">
        <v>1</v>
      </c>
      <c r="R15" s="17">
        <v>4</v>
      </c>
      <c r="S15" s="16">
        <f t="shared" si="5"/>
        <v>4</v>
      </c>
      <c r="T15" s="16" t="str">
        <f t="shared" si="6"/>
        <v>Bajo</v>
      </c>
      <c r="U15" s="17" t="s">
        <v>501</v>
      </c>
      <c r="V15" s="20">
        <v>46293</v>
      </c>
      <c r="W15" s="17" t="s">
        <v>500</v>
      </c>
    </row>
    <row r="16" spans="1:23" ht="66" customHeight="1">
      <c r="A16" s="17" t="s">
        <v>13</v>
      </c>
      <c r="B16" s="17" t="s">
        <v>159</v>
      </c>
      <c r="C16" s="17" t="s">
        <v>160</v>
      </c>
      <c r="D16" s="17" t="s">
        <v>161</v>
      </c>
      <c r="E16" s="17">
        <v>3</v>
      </c>
      <c r="F16" s="17">
        <v>4</v>
      </c>
      <c r="G16" s="17">
        <f t="shared" si="0"/>
        <v>12</v>
      </c>
      <c r="H16" s="17" t="str">
        <f t="shared" si="1"/>
        <v>Alto</v>
      </c>
      <c r="I16" s="17" t="str">
        <f t="shared" si="2"/>
        <v>High</v>
      </c>
      <c r="J16" s="17" t="s">
        <v>149</v>
      </c>
      <c r="K16" s="17" t="s">
        <v>162</v>
      </c>
      <c r="L16" s="17" t="s">
        <v>163</v>
      </c>
      <c r="M16" s="17" t="s">
        <v>64</v>
      </c>
      <c r="N16" s="17" t="s">
        <v>164</v>
      </c>
      <c r="O16" s="20">
        <v>46272</v>
      </c>
      <c r="P16" s="17" t="s">
        <v>484</v>
      </c>
      <c r="Q16" s="17">
        <v>1</v>
      </c>
      <c r="R16" s="17">
        <v>4</v>
      </c>
      <c r="S16" s="16">
        <f t="shared" si="5"/>
        <v>4</v>
      </c>
      <c r="T16" s="16" t="str">
        <f t="shared" si="6"/>
        <v>Bajo</v>
      </c>
      <c r="U16" s="17" t="s">
        <v>501</v>
      </c>
      <c r="V16" s="20">
        <v>46294</v>
      </c>
      <c r="W16" s="17" t="s">
        <v>500</v>
      </c>
    </row>
    <row r="17" spans="1:23" ht="66" customHeight="1">
      <c r="A17" s="17" t="s">
        <v>13</v>
      </c>
      <c r="B17" s="17" t="s">
        <v>165</v>
      </c>
      <c r="C17" s="17" t="s">
        <v>166</v>
      </c>
      <c r="D17" s="17" t="s">
        <v>167</v>
      </c>
      <c r="E17" s="17">
        <v>3</v>
      </c>
      <c r="F17" s="17">
        <v>4</v>
      </c>
      <c r="G17" s="17">
        <f t="shared" si="0"/>
        <v>12</v>
      </c>
      <c r="H17" s="17" t="str">
        <f t="shared" si="1"/>
        <v>Alto</v>
      </c>
      <c r="I17" s="17" t="str">
        <f t="shared" si="2"/>
        <v>High</v>
      </c>
      <c r="J17" s="17" t="s">
        <v>149</v>
      </c>
      <c r="K17" s="17" t="s">
        <v>168</v>
      </c>
      <c r="L17" s="17" t="s">
        <v>169</v>
      </c>
      <c r="M17" s="17" t="s">
        <v>62</v>
      </c>
      <c r="N17" s="17" t="s">
        <v>170</v>
      </c>
      <c r="O17" s="20">
        <v>46272</v>
      </c>
      <c r="P17" s="17" t="s">
        <v>484</v>
      </c>
      <c r="Q17" s="17">
        <v>1</v>
      </c>
      <c r="R17" s="17">
        <v>4</v>
      </c>
      <c r="S17" s="16">
        <f t="shared" si="5"/>
        <v>4</v>
      </c>
      <c r="T17" s="16" t="str">
        <f t="shared" si="6"/>
        <v>Bajo</v>
      </c>
      <c r="U17" s="17" t="s">
        <v>501</v>
      </c>
      <c r="V17" s="20">
        <v>46295</v>
      </c>
      <c r="W17" s="17" t="s">
        <v>500</v>
      </c>
    </row>
    <row r="18" spans="1:23" ht="66" customHeight="1">
      <c r="A18" s="17" t="s">
        <v>17</v>
      </c>
      <c r="B18" s="17" t="s">
        <v>171</v>
      </c>
      <c r="C18" s="17" t="s">
        <v>172</v>
      </c>
      <c r="D18" s="17" t="s">
        <v>173</v>
      </c>
      <c r="E18" s="17">
        <v>3</v>
      </c>
      <c r="F18" s="17">
        <v>5</v>
      </c>
      <c r="G18" s="17">
        <f t="shared" si="0"/>
        <v>15</v>
      </c>
      <c r="H18" s="17" t="str">
        <f t="shared" si="1"/>
        <v>Alto</v>
      </c>
      <c r="I18" s="17" t="str">
        <f t="shared" si="2"/>
        <v>High</v>
      </c>
      <c r="J18" s="17" t="s">
        <v>149</v>
      </c>
      <c r="K18" s="17" t="s">
        <v>174</v>
      </c>
      <c r="L18" s="17" t="s">
        <v>175</v>
      </c>
      <c r="M18" s="17" t="s">
        <v>176</v>
      </c>
      <c r="N18" s="17" t="s">
        <v>177</v>
      </c>
      <c r="O18" s="20">
        <v>46272</v>
      </c>
      <c r="P18" s="17" t="s">
        <v>484</v>
      </c>
      <c r="Q18" s="17">
        <v>1</v>
      </c>
      <c r="R18" s="17">
        <v>4</v>
      </c>
      <c r="S18" s="16">
        <f t="shared" si="5"/>
        <v>4</v>
      </c>
      <c r="T18" s="16" t="str">
        <f t="shared" si="6"/>
        <v>Bajo</v>
      </c>
      <c r="U18" s="17" t="s">
        <v>502</v>
      </c>
      <c r="V18" s="20">
        <v>46296</v>
      </c>
      <c r="W18" s="17" t="s">
        <v>500</v>
      </c>
    </row>
    <row r="19" spans="1:23" ht="66" customHeight="1">
      <c r="A19" s="17" t="s">
        <v>17</v>
      </c>
      <c r="B19" s="17" t="s">
        <v>178</v>
      </c>
      <c r="C19" s="17" t="s">
        <v>179</v>
      </c>
      <c r="D19" s="17" t="s">
        <v>180</v>
      </c>
      <c r="E19" s="17">
        <v>4</v>
      </c>
      <c r="F19" s="17">
        <v>5</v>
      </c>
      <c r="G19" s="17">
        <f t="shared" si="0"/>
        <v>20</v>
      </c>
      <c r="H19" s="17" t="str">
        <f t="shared" si="1"/>
        <v>Crítico</v>
      </c>
      <c r="I19" s="17" t="str">
        <f t="shared" si="2"/>
        <v>Highest</v>
      </c>
      <c r="J19" s="17" t="s">
        <v>149</v>
      </c>
      <c r="K19" s="17" t="s">
        <v>181</v>
      </c>
      <c r="L19" s="17" t="s">
        <v>182</v>
      </c>
      <c r="M19" s="17" t="s">
        <v>176</v>
      </c>
      <c r="N19" s="17" t="s">
        <v>183</v>
      </c>
      <c r="O19" s="20">
        <v>46272</v>
      </c>
      <c r="P19" s="17" t="s">
        <v>484</v>
      </c>
      <c r="Q19" s="17">
        <v>2</v>
      </c>
      <c r="R19" s="17">
        <v>4</v>
      </c>
      <c r="S19" s="16">
        <f t="shared" si="5"/>
        <v>8</v>
      </c>
      <c r="T19" s="16" t="str">
        <f t="shared" si="6"/>
        <v>Medio</v>
      </c>
      <c r="U19" s="17" t="s">
        <v>502</v>
      </c>
      <c r="V19" s="20">
        <v>46291</v>
      </c>
      <c r="W19" s="17" t="s">
        <v>503</v>
      </c>
    </row>
    <row r="20" spans="1:23" ht="66" customHeight="1">
      <c r="A20" s="17" t="s">
        <v>17</v>
      </c>
      <c r="B20" s="17" t="s">
        <v>184</v>
      </c>
      <c r="C20" s="17" t="s">
        <v>185</v>
      </c>
      <c r="D20" s="17" t="s">
        <v>186</v>
      </c>
      <c r="E20" s="17">
        <v>3</v>
      </c>
      <c r="F20" s="17">
        <v>5</v>
      </c>
      <c r="G20" s="17">
        <f t="shared" si="0"/>
        <v>15</v>
      </c>
      <c r="H20" s="17" t="str">
        <f t="shared" si="1"/>
        <v>Alto</v>
      </c>
      <c r="I20" s="17" t="str">
        <f t="shared" si="2"/>
        <v>High</v>
      </c>
      <c r="J20" s="17" t="s">
        <v>149</v>
      </c>
      <c r="K20" s="17" t="s">
        <v>187</v>
      </c>
      <c r="L20" s="17" t="s">
        <v>188</v>
      </c>
      <c r="M20" s="17" t="s">
        <v>61</v>
      </c>
      <c r="N20" s="17" t="s">
        <v>189</v>
      </c>
      <c r="O20" s="20">
        <v>46272</v>
      </c>
      <c r="P20" s="17" t="s">
        <v>484</v>
      </c>
      <c r="Q20" s="17">
        <v>1</v>
      </c>
      <c r="R20" s="17">
        <v>4</v>
      </c>
      <c r="S20" s="16">
        <f t="shared" si="5"/>
        <v>4</v>
      </c>
      <c r="T20" s="16" t="str">
        <f t="shared" si="6"/>
        <v>Bajo</v>
      </c>
      <c r="U20" s="17" t="s">
        <v>502</v>
      </c>
      <c r="V20" s="20">
        <v>46292</v>
      </c>
      <c r="W20" s="17" t="s">
        <v>500</v>
      </c>
    </row>
    <row r="21" spans="1:23" ht="66" customHeight="1">
      <c r="A21" s="17" t="s">
        <v>17</v>
      </c>
      <c r="B21" s="17" t="s">
        <v>190</v>
      </c>
      <c r="C21" s="17" t="s">
        <v>191</v>
      </c>
      <c r="D21" s="17" t="s">
        <v>192</v>
      </c>
      <c r="E21" s="17">
        <v>3</v>
      </c>
      <c r="F21" s="17">
        <v>3</v>
      </c>
      <c r="G21" s="17">
        <f t="shared" si="0"/>
        <v>9</v>
      </c>
      <c r="H21" s="17" t="str">
        <f t="shared" si="1"/>
        <v>Medio</v>
      </c>
      <c r="I21" s="17" t="str">
        <f t="shared" si="2"/>
        <v>Low</v>
      </c>
      <c r="J21" s="17" t="s">
        <v>149</v>
      </c>
      <c r="K21" s="17" t="s">
        <v>193</v>
      </c>
      <c r="L21" s="17" t="s">
        <v>194</v>
      </c>
      <c r="M21" s="17" t="s">
        <v>195</v>
      </c>
      <c r="N21" s="17" t="s">
        <v>196</v>
      </c>
      <c r="O21" s="20">
        <v>46272</v>
      </c>
      <c r="P21" s="17" t="s">
        <v>26</v>
      </c>
      <c r="Q21" s="17">
        <v>3</v>
      </c>
      <c r="R21" s="17">
        <v>3</v>
      </c>
      <c r="S21" s="16">
        <f t="shared" si="5"/>
        <v>9</v>
      </c>
      <c r="T21" s="16" t="str">
        <f t="shared" si="6"/>
        <v>Medio</v>
      </c>
      <c r="U21" s="17" t="s">
        <v>502</v>
      </c>
      <c r="V21" s="20">
        <v>46293</v>
      </c>
      <c r="W21" s="17" t="s">
        <v>504</v>
      </c>
    </row>
    <row r="22" spans="1:23" ht="66" customHeight="1">
      <c r="A22" s="17" t="s">
        <v>17</v>
      </c>
      <c r="B22" s="17" t="s">
        <v>197</v>
      </c>
      <c r="C22" s="17" t="s">
        <v>198</v>
      </c>
      <c r="D22" s="17" t="s">
        <v>199</v>
      </c>
      <c r="E22" s="17">
        <v>3</v>
      </c>
      <c r="F22" s="17">
        <v>4</v>
      </c>
      <c r="G22" s="17">
        <f t="shared" si="0"/>
        <v>12</v>
      </c>
      <c r="H22" s="17" t="str">
        <f t="shared" si="1"/>
        <v>Alto</v>
      </c>
      <c r="I22" s="17" t="str">
        <f t="shared" si="2"/>
        <v>High</v>
      </c>
      <c r="J22" s="17" t="s">
        <v>149</v>
      </c>
      <c r="K22" s="17" t="s">
        <v>200</v>
      </c>
      <c r="L22" s="17" t="s">
        <v>201</v>
      </c>
      <c r="M22" s="17" t="s">
        <v>61</v>
      </c>
      <c r="N22" s="17" t="s">
        <v>202</v>
      </c>
      <c r="O22" s="20">
        <v>46272</v>
      </c>
      <c r="P22" s="17" t="s">
        <v>26</v>
      </c>
      <c r="Q22" s="17">
        <v>2</v>
      </c>
      <c r="R22" s="17">
        <v>4</v>
      </c>
      <c r="S22" s="16">
        <f t="shared" si="5"/>
        <v>8</v>
      </c>
      <c r="T22" s="16" t="str">
        <f t="shared" si="6"/>
        <v>Medio</v>
      </c>
      <c r="U22" s="17" t="s">
        <v>502</v>
      </c>
      <c r="V22" s="20">
        <v>46294</v>
      </c>
      <c r="W22" s="17" t="s">
        <v>505</v>
      </c>
    </row>
    <row r="23" spans="1:23" ht="66" customHeight="1">
      <c r="A23" s="17" t="s">
        <v>17</v>
      </c>
      <c r="B23" s="17" t="s">
        <v>203</v>
      </c>
      <c r="C23" s="17" t="s">
        <v>204</v>
      </c>
      <c r="D23" s="17" t="s">
        <v>205</v>
      </c>
      <c r="E23" s="17">
        <v>3</v>
      </c>
      <c r="F23" s="17">
        <v>4</v>
      </c>
      <c r="G23" s="17">
        <f t="shared" si="0"/>
        <v>12</v>
      </c>
      <c r="H23" s="17" t="str">
        <f t="shared" si="1"/>
        <v>Alto</v>
      </c>
      <c r="I23" s="17" t="str">
        <f t="shared" si="2"/>
        <v>High</v>
      </c>
      <c r="J23" s="17" t="s">
        <v>149</v>
      </c>
      <c r="K23" s="17" t="s">
        <v>206</v>
      </c>
      <c r="L23" s="17" t="s">
        <v>207</v>
      </c>
      <c r="M23" s="17" t="s">
        <v>176</v>
      </c>
      <c r="N23" s="17" t="s">
        <v>208</v>
      </c>
      <c r="O23" s="20">
        <v>46272</v>
      </c>
      <c r="P23" s="17" t="s">
        <v>484</v>
      </c>
      <c r="Q23" s="17">
        <v>1</v>
      </c>
      <c r="R23" s="17">
        <v>4</v>
      </c>
      <c r="S23" s="16">
        <f t="shared" si="5"/>
        <v>4</v>
      </c>
      <c r="T23" s="16" t="str">
        <f t="shared" si="6"/>
        <v>Bajo</v>
      </c>
      <c r="U23" s="17" t="s">
        <v>502</v>
      </c>
      <c r="V23" s="20">
        <v>46295</v>
      </c>
      <c r="W23" s="17" t="s">
        <v>500</v>
      </c>
    </row>
    <row r="24" spans="1:23" ht="66" customHeight="1">
      <c r="A24" s="17" t="s">
        <v>21</v>
      </c>
      <c r="B24" s="17" t="s">
        <v>209</v>
      </c>
      <c r="C24" s="17" t="s">
        <v>210</v>
      </c>
      <c r="D24" s="17" t="s">
        <v>211</v>
      </c>
      <c r="E24" s="17">
        <v>2</v>
      </c>
      <c r="F24" s="17">
        <v>5</v>
      </c>
      <c r="G24" s="17">
        <f t="shared" si="0"/>
        <v>10</v>
      </c>
      <c r="H24" s="17" t="str">
        <f t="shared" si="1"/>
        <v>Alto</v>
      </c>
      <c r="I24" s="17" t="str">
        <f t="shared" si="2"/>
        <v>High</v>
      </c>
      <c r="J24" s="17" t="s">
        <v>142</v>
      </c>
      <c r="K24" s="17" t="s">
        <v>212</v>
      </c>
      <c r="L24" s="17" t="s">
        <v>213</v>
      </c>
      <c r="M24" s="17" t="s">
        <v>77</v>
      </c>
      <c r="N24" s="17" t="s">
        <v>214</v>
      </c>
      <c r="O24" s="20">
        <v>46272</v>
      </c>
      <c r="P24" s="17" t="s">
        <v>489</v>
      </c>
      <c r="Q24" s="17">
        <v>1</v>
      </c>
      <c r="R24" s="17">
        <v>2</v>
      </c>
      <c r="S24" s="16">
        <f t="shared" si="5"/>
        <v>2</v>
      </c>
      <c r="T24" s="16" t="str">
        <f t="shared" si="6"/>
        <v>Bajo</v>
      </c>
      <c r="U24" s="17" t="s">
        <v>506</v>
      </c>
      <c r="V24" s="20">
        <v>46296</v>
      </c>
      <c r="W24" s="17" t="s">
        <v>507</v>
      </c>
    </row>
    <row r="25" spans="1:23" ht="66" customHeight="1">
      <c r="A25" s="17" t="s">
        <v>21</v>
      </c>
      <c r="B25" s="17" t="s">
        <v>215</v>
      </c>
      <c r="C25" s="17" t="s">
        <v>216</v>
      </c>
      <c r="D25" s="17" t="s">
        <v>217</v>
      </c>
      <c r="E25" s="17">
        <v>3</v>
      </c>
      <c r="F25" s="17">
        <v>5</v>
      </c>
      <c r="G25" s="17">
        <f t="shared" si="0"/>
        <v>15</v>
      </c>
      <c r="H25" s="17" t="str">
        <f t="shared" si="1"/>
        <v>Alto</v>
      </c>
      <c r="I25" s="17" t="str">
        <f t="shared" si="2"/>
        <v>High</v>
      </c>
      <c r="J25" s="17" t="s">
        <v>142</v>
      </c>
      <c r="K25" s="17" t="s">
        <v>218</v>
      </c>
      <c r="L25" s="17" t="s">
        <v>219</v>
      </c>
      <c r="M25" s="17" t="s">
        <v>61</v>
      </c>
      <c r="N25" s="17" t="s">
        <v>220</v>
      </c>
      <c r="O25" s="20">
        <v>46272</v>
      </c>
      <c r="P25" s="17" t="s">
        <v>484</v>
      </c>
      <c r="Q25" s="17">
        <v>1</v>
      </c>
      <c r="R25" s="17">
        <v>4</v>
      </c>
      <c r="S25" s="16">
        <f t="shared" si="5"/>
        <v>4</v>
      </c>
      <c r="T25" s="16" t="str">
        <f t="shared" si="6"/>
        <v>Bajo</v>
      </c>
      <c r="U25" s="17" t="s">
        <v>506</v>
      </c>
      <c r="V25" s="20">
        <v>46291</v>
      </c>
      <c r="W25" s="17" t="s">
        <v>508</v>
      </c>
    </row>
    <row r="26" spans="1:23" ht="66" customHeight="1">
      <c r="A26" s="17" t="s">
        <v>21</v>
      </c>
      <c r="B26" s="17" t="s">
        <v>221</v>
      </c>
      <c r="C26" s="17" t="s">
        <v>222</v>
      </c>
      <c r="D26" s="17" t="s">
        <v>223</v>
      </c>
      <c r="E26" s="17">
        <v>3</v>
      </c>
      <c r="F26" s="17">
        <v>5</v>
      </c>
      <c r="G26" s="17">
        <f t="shared" si="0"/>
        <v>15</v>
      </c>
      <c r="H26" s="17" t="str">
        <f t="shared" si="1"/>
        <v>Alto</v>
      </c>
      <c r="I26" s="17" t="str">
        <f t="shared" si="2"/>
        <v>High</v>
      </c>
      <c r="J26" s="17" t="s">
        <v>142</v>
      </c>
      <c r="K26" s="17" t="s">
        <v>224</v>
      </c>
      <c r="L26" s="17" t="s">
        <v>225</v>
      </c>
      <c r="M26" s="17" t="s">
        <v>61</v>
      </c>
      <c r="N26" s="17" t="s">
        <v>226</v>
      </c>
      <c r="O26" s="20">
        <v>46272</v>
      </c>
      <c r="P26" s="17" t="s">
        <v>26</v>
      </c>
      <c r="Q26" s="17">
        <v>2</v>
      </c>
      <c r="R26" s="17">
        <v>5</v>
      </c>
      <c r="S26" s="16">
        <f t="shared" si="5"/>
        <v>10</v>
      </c>
      <c r="T26" s="16" t="str">
        <f t="shared" si="6"/>
        <v>Alto</v>
      </c>
      <c r="U26" s="17" t="s">
        <v>506</v>
      </c>
      <c r="V26" s="20">
        <v>46292</v>
      </c>
      <c r="W26" s="17" t="s">
        <v>509</v>
      </c>
    </row>
    <row r="27" spans="1:23" ht="66" customHeight="1">
      <c r="A27" s="17" t="s">
        <v>21</v>
      </c>
      <c r="B27" s="17" t="s">
        <v>227</v>
      </c>
      <c r="C27" s="17" t="s">
        <v>228</v>
      </c>
      <c r="D27" s="17" t="s">
        <v>229</v>
      </c>
      <c r="E27" s="17">
        <v>2</v>
      </c>
      <c r="F27" s="17">
        <v>5</v>
      </c>
      <c r="G27" s="17">
        <f t="shared" si="0"/>
        <v>10</v>
      </c>
      <c r="H27" s="17" t="str">
        <f t="shared" si="1"/>
        <v>Alto</v>
      </c>
      <c r="I27" s="17" t="str">
        <f t="shared" si="2"/>
        <v>High</v>
      </c>
      <c r="J27" s="17" t="s">
        <v>149</v>
      </c>
      <c r="K27" s="17" t="s">
        <v>230</v>
      </c>
      <c r="L27" s="17" t="s">
        <v>231</v>
      </c>
      <c r="M27" s="17" t="s">
        <v>77</v>
      </c>
      <c r="N27" s="17" t="s">
        <v>232</v>
      </c>
      <c r="O27" s="20">
        <v>46272</v>
      </c>
      <c r="P27" s="17" t="s">
        <v>484</v>
      </c>
      <c r="Q27" s="17">
        <v>1</v>
      </c>
      <c r="R27" s="17">
        <v>4</v>
      </c>
      <c r="S27" s="16">
        <f t="shared" si="5"/>
        <v>4</v>
      </c>
      <c r="T27" s="16" t="str">
        <f t="shared" si="6"/>
        <v>Bajo</v>
      </c>
      <c r="U27" s="17" t="s">
        <v>506</v>
      </c>
      <c r="V27" s="20">
        <v>46293</v>
      </c>
      <c r="W27" s="17" t="s">
        <v>500</v>
      </c>
    </row>
    <row r="28" spans="1:23" ht="66" customHeight="1">
      <c r="A28" s="17" t="s">
        <v>21</v>
      </c>
      <c r="B28" s="17" t="s">
        <v>233</v>
      </c>
      <c r="C28" s="17" t="s">
        <v>234</v>
      </c>
      <c r="D28" s="17" t="s">
        <v>235</v>
      </c>
      <c r="E28" s="17">
        <v>3</v>
      </c>
      <c r="F28" s="17">
        <v>4</v>
      </c>
      <c r="G28" s="17">
        <f t="shared" si="0"/>
        <v>12</v>
      </c>
      <c r="H28" s="17" t="str">
        <f t="shared" si="1"/>
        <v>Alto</v>
      </c>
      <c r="I28" s="17" t="str">
        <f t="shared" si="2"/>
        <v>High</v>
      </c>
      <c r="J28" s="17" t="s">
        <v>149</v>
      </c>
      <c r="K28" s="17" t="s">
        <v>236</v>
      </c>
      <c r="L28" s="17" t="s">
        <v>237</v>
      </c>
      <c r="M28" s="17" t="s">
        <v>77</v>
      </c>
      <c r="N28" s="17" t="s">
        <v>238</v>
      </c>
      <c r="O28" s="20">
        <v>46272</v>
      </c>
      <c r="P28" s="17" t="s">
        <v>484</v>
      </c>
      <c r="Q28" s="17">
        <v>1</v>
      </c>
      <c r="R28" s="17">
        <v>4</v>
      </c>
      <c r="S28" s="16">
        <f t="shared" si="5"/>
        <v>4</v>
      </c>
      <c r="T28" s="16" t="str">
        <f t="shared" si="6"/>
        <v>Bajo</v>
      </c>
      <c r="U28" s="17" t="s">
        <v>506</v>
      </c>
      <c r="V28" s="20">
        <v>46294</v>
      </c>
      <c r="W28" s="17" t="s">
        <v>510</v>
      </c>
    </row>
    <row r="29" spans="1:23" ht="66" customHeight="1">
      <c r="A29" s="17" t="s">
        <v>21</v>
      </c>
      <c r="B29" s="17" t="s">
        <v>239</v>
      </c>
      <c r="C29" s="17" t="s">
        <v>240</v>
      </c>
      <c r="D29" s="17" t="s">
        <v>241</v>
      </c>
      <c r="E29" s="17">
        <v>2</v>
      </c>
      <c r="F29" s="17">
        <v>5</v>
      </c>
      <c r="G29" s="17">
        <f t="shared" si="0"/>
        <v>10</v>
      </c>
      <c r="H29" s="17" t="str">
        <f t="shared" si="1"/>
        <v>Alto</v>
      </c>
      <c r="I29" s="17" t="str">
        <f t="shared" si="2"/>
        <v>High</v>
      </c>
      <c r="J29" s="17" t="s">
        <v>142</v>
      </c>
      <c r="K29" s="17" t="s">
        <v>242</v>
      </c>
      <c r="L29" s="17" t="s">
        <v>243</v>
      </c>
      <c r="M29" s="17" t="s">
        <v>61</v>
      </c>
      <c r="N29" s="17" t="s">
        <v>244</v>
      </c>
      <c r="O29" s="20">
        <v>46272</v>
      </c>
      <c r="P29" s="17" t="s">
        <v>489</v>
      </c>
      <c r="Q29" s="17">
        <v>1</v>
      </c>
      <c r="R29" s="17">
        <v>2</v>
      </c>
      <c r="S29" s="16">
        <f t="shared" si="5"/>
        <v>2</v>
      </c>
      <c r="T29" s="16" t="str">
        <f t="shared" si="6"/>
        <v>Bajo</v>
      </c>
      <c r="U29" s="17" t="s">
        <v>506</v>
      </c>
      <c r="V29" s="20">
        <v>46295</v>
      </c>
      <c r="W29" s="17" t="s">
        <v>507</v>
      </c>
    </row>
    <row r="30" spans="1:23" ht="66" customHeight="1">
      <c r="A30" s="17" t="s">
        <v>24</v>
      </c>
      <c r="B30" s="17" t="s">
        <v>245</v>
      </c>
      <c r="C30" s="17" t="s">
        <v>246</v>
      </c>
      <c r="D30" s="17" t="s">
        <v>247</v>
      </c>
      <c r="E30" s="17">
        <v>3</v>
      </c>
      <c r="F30" s="17">
        <v>4</v>
      </c>
      <c r="G30" s="17">
        <f t="shared" si="0"/>
        <v>12</v>
      </c>
      <c r="H30" s="17" t="str">
        <f t="shared" si="1"/>
        <v>Alto</v>
      </c>
      <c r="I30" s="17" t="str">
        <f t="shared" si="2"/>
        <v>High</v>
      </c>
      <c r="J30" s="17" t="s">
        <v>149</v>
      </c>
      <c r="K30" s="17" t="s">
        <v>248</v>
      </c>
      <c r="L30" s="17" t="s">
        <v>249</v>
      </c>
      <c r="M30" s="17" t="s">
        <v>64</v>
      </c>
      <c r="N30" s="17" t="s">
        <v>250</v>
      </c>
      <c r="O30" s="20">
        <v>46272</v>
      </c>
      <c r="P30" s="17" t="s">
        <v>484</v>
      </c>
      <c r="Q30" s="17">
        <v>1</v>
      </c>
      <c r="R30" s="17">
        <v>4</v>
      </c>
      <c r="S30" s="16">
        <f t="shared" si="5"/>
        <v>4</v>
      </c>
      <c r="T30" s="16" t="str">
        <f t="shared" si="6"/>
        <v>Bajo</v>
      </c>
      <c r="U30" s="17" t="s">
        <v>511</v>
      </c>
      <c r="V30" s="20">
        <v>46296</v>
      </c>
      <c r="W30" s="17" t="s">
        <v>500</v>
      </c>
    </row>
    <row r="31" spans="1:23" ht="66" customHeight="1">
      <c r="A31" s="17" t="s">
        <v>24</v>
      </c>
      <c r="B31" s="17" t="s">
        <v>251</v>
      </c>
      <c r="C31" s="17" t="s">
        <v>252</v>
      </c>
      <c r="D31" s="17" t="s">
        <v>253</v>
      </c>
      <c r="E31" s="17">
        <v>3</v>
      </c>
      <c r="F31" s="17">
        <v>4</v>
      </c>
      <c r="G31" s="17">
        <f t="shared" si="0"/>
        <v>12</v>
      </c>
      <c r="H31" s="17" t="str">
        <f t="shared" si="1"/>
        <v>Alto</v>
      </c>
      <c r="I31" s="17" t="str">
        <f t="shared" si="2"/>
        <v>High</v>
      </c>
      <c r="J31" s="17" t="s">
        <v>149</v>
      </c>
      <c r="K31" s="17" t="s">
        <v>254</v>
      </c>
      <c r="L31" s="17" t="s">
        <v>255</v>
      </c>
      <c r="M31" s="17" t="s">
        <v>77</v>
      </c>
      <c r="N31" s="17" t="s">
        <v>256</v>
      </c>
      <c r="O31" s="20">
        <v>46272</v>
      </c>
      <c r="P31" s="17" t="s">
        <v>484</v>
      </c>
      <c r="Q31" s="17">
        <v>1</v>
      </c>
      <c r="R31" s="17">
        <v>4</v>
      </c>
      <c r="S31" s="16">
        <f t="shared" si="5"/>
        <v>4</v>
      </c>
      <c r="T31" s="16" t="str">
        <f t="shared" si="6"/>
        <v>Bajo</v>
      </c>
      <c r="U31" s="17" t="s">
        <v>511</v>
      </c>
      <c r="V31" s="20">
        <v>46291</v>
      </c>
      <c r="W31" s="17" t="s">
        <v>500</v>
      </c>
    </row>
    <row r="32" spans="1:23" ht="66" customHeight="1">
      <c r="A32" s="17" t="s">
        <v>27</v>
      </c>
      <c r="B32" s="17" t="s">
        <v>257</v>
      </c>
      <c r="C32" s="17" t="s">
        <v>258</v>
      </c>
      <c r="D32" s="17" t="s">
        <v>259</v>
      </c>
      <c r="E32" s="17">
        <v>3</v>
      </c>
      <c r="F32" s="17">
        <v>4</v>
      </c>
      <c r="G32" s="17">
        <f t="shared" si="0"/>
        <v>12</v>
      </c>
      <c r="H32" s="17" t="str">
        <f t="shared" si="1"/>
        <v>Alto</v>
      </c>
      <c r="I32" s="17" t="str">
        <f t="shared" si="2"/>
        <v>High</v>
      </c>
      <c r="J32" s="17" t="s">
        <v>149</v>
      </c>
      <c r="K32" s="17" t="s">
        <v>260</v>
      </c>
      <c r="L32" s="17" t="s">
        <v>261</v>
      </c>
      <c r="M32" s="17" t="s">
        <v>195</v>
      </c>
      <c r="N32" s="17" t="s">
        <v>262</v>
      </c>
      <c r="O32" s="20">
        <v>46272</v>
      </c>
      <c r="P32" s="17" t="s">
        <v>484</v>
      </c>
      <c r="Q32" s="17">
        <v>1</v>
      </c>
      <c r="R32" s="17">
        <v>4</v>
      </c>
      <c r="S32" s="16">
        <f t="shared" si="5"/>
        <v>4</v>
      </c>
      <c r="T32" s="16" t="str">
        <f t="shared" si="6"/>
        <v>Bajo</v>
      </c>
      <c r="U32" s="17" t="s">
        <v>512</v>
      </c>
      <c r="V32" s="20">
        <v>46292</v>
      </c>
      <c r="W32" s="17" t="s">
        <v>513</v>
      </c>
    </row>
    <row r="33" spans="1:23" ht="66" customHeight="1">
      <c r="A33" s="17" t="s">
        <v>27</v>
      </c>
      <c r="B33" s="17" t="s">
        <v>263</v>
      </c>
      <c r="C33" s="17" t="s">
        <v>264</v>
      </c>
      <c r="D33" s="17" t="s">
        <v>265</v>
      </c>
      <c r="E33" s="17">
        <v>3</v>
      </c>
      <c r="F33" s="17">
        <v>5</v>
      </c>
      <c r="G33" s="17">
        <f t="shared" si="0"/>
        <v>15</v>
      </c>
      <c r="H33" s="17" t="str">
        <f t="shared" si="1"/>
        <v>Alto</v>
      </c>
      <c r="I33" s="17" t="str">
        <f t="shared" si="2"/>
        <v>High</v>
      </c>
      <c r="J33" s="17" t="s">
        <v>149</v>
      </c>
      <c r="K33" s="17" t="s">
        <v>266</v>
      </c>
      <c r="L33" s="17" t="s">
        <v>267</v>
      </c>
      <c r="M33" s="17" t="s">
        <v>195</v>
      </c>
      <c r="N33" s="17" t="s">
        <v>268</v>
      </c>
      <c r="O33" s="20">
        <v>46272</v>
      </c>
      <c r="P33" s="17" t="s">
        <v>26</v>
      </c>
      <c r="Q33" s="17">
        <v>3</v>
      </c>
      <c r="R33" s="17">
        <v>5</v>
      </c>
      <c r="S33" s="16">
        <f t="shared" si="5"/>
        <v>15</v>
      </c>
      <c r="T33" s="16" t="str">
        <f t="shared" si="6"/>
        <v>Alto</v>
      </c>
      <c r="U33" s="17" t="s">
        <v>512</v>
      </c>
      <c r="V33" s="20">
        <v>46293</v>
      </c>
      <c r="W33" s="17" t="s">
        <v>514</v>
      </c>
    </row>
    <row r="34" spans="1:23" ht="66" customHeight="1">
      <c r="A34" s="17" t="s">
        <v>27</v>
      </c>
      <c r="B34" s="17" t="s">
        <v>269</v>
      </c>
      <c r="C34" s="17" t="s">
        <v>270</v>
      </c>
      <c r="D34" s="17" t="s">
        <v>271</v>
      </c>
      <c r="E34" s="17">
        <v>3</v>
      </c>
      <c r="F34" s="17">
        <v>4</v>
      </c>
      <c r="G34" s="17">
        <f t="shared" si="0"/>
        <v>12</v>
      </c>
      <c r="H34" s="17" t="str">
        <f t="shared" si="1"/>
        <v>Alto</v>
      </c>
      <c r="I34" s="17" t="str">
        <f t="shared" si="2"/>
        <v>High</v>
      </c>
      <c r="J34" s="17" t="s">
        <v>149</v>
      </c>
      <c r="K34" s="17" t="s">
        <v>272</v>
      </c>
      <c r="L34" s="17" t="s">
        <v>273</v>
      </c>
      <c r="M34" s="17" t="s">
        <v>195</v>
      </c>
      <c r="N34" s="17" t="s">
        <v>274</v>
      </c>
      <c r="O34" s="20">
        <v>46272</v>
      </c>
      <c r="P34" s="17" t="s">
        <v>484</v>
      </c>
      <c r="Q34" s="17">
        <v>1</v>
      </c>
      <c r="R34" s="17">
        <v>4</v>
      </c>
      <c r="S34" s="16">
        <f t="shared" si="5"/>
        <v>4</v>
      </c>
      <c r="T34" s="16" t="str">
        <f t="shared" si="6"/>
        <v>Bajo</v>
      </c>
      <c r="U34" s="17" t="s">
        <v>512</v>
      </c>
      <c r="V34" s="20">
        <v>46294</v>
      </c>
      <c r="W34" s="17" t="s">
        <v>500</v>
      </c>
    </row>
    <row r="35" spans="1:23" ht="66" customHeight="1">
      <c r="A35" s="17" t="s">
        <v>27</v>
      </c>
      <c r="B35" s="17" t="s">
        <v>275</v>
      </c>
      <c r="C35" s="17" t="s">
        <v>276</v>
      </c>
      <c r="D35" s="17" t="s">
        <v>277</v>
      </c>
      <c r="E35" s="17">
        <v>3</v>
      </c>
      <c r="F35" s="17">
        <v>3</v>
      </c>
      <c r="G35" s="17">
        <f t="shared" si="0"/>
        <v>9</v>
      </c>
      <c r="H35" s="17" t="str">
        <f t="shared" si="1"/>
        <v>Medio</v>
      </c>
      <c r="I35" s="17" t="str">
        <f t="shared" si="2"/>
        <v>Low</v>
      </c>
      <c r="J35" s="17" t="s">
        <v>149</v>
      </c>
      <c r="K35" s="17" t="s">
        <v>278</v>
      </c>
      <c r="L35" s="17" t="s">
        <v>279</v>
      </c>
      <c r="M35" s="17" t="s">
        <v>195</v>
      </c>
      <c r="N35" s="17" t="s">
        <v>280</v>
      </c>
      <c r="O35" s="20">
        <v>46272</v>
      </c>
      <c r="P35" s="17" t="s">
        <v>484</v>
      </c>
      <c r="Q35" s="17">
        <v>1</v>
      </c>
      <c r="R35" s="17">
        <v>3</v>
      </c>
      <c r="S35" s="16">
        <f t="shared" si="5"/>
        <v>3</v>
      </c>
      <c r="T35" s="16" t="str">
        <f t="shared" si="6"/>
        <v>Bajo</v>
      </c>
      <c r="U35" s="17" t="s">
        <v>512</v>
      </c>
      <c r="V35" s="20">
        <v>46295</v>
      </c>
      <c r="W35" s="17" t="s">
        <v>500</v>
      </c>
    </row>
    <row r="36" spans="1:23" ht="66" customHeight="1">
      <c r="A36" s="17" t="s">
        <v>27</v>
      </c>
      <c r="B36" s="17" t="s">
        <v>281</v>
      </c>
      <c r="C36" s="17" t="s">
        <v>282</v>
      </c>
      <c r="D36" s="17" t="s">
        <v>283</v>
      </c>
      <c r="E36" s="17">
        <v>3</v>
      </c>
      <c r="F36" s="17">
        <v>3</v>
      </c>
      <c r="G36" s="17">
        <f t="shared" si="0"/>
        <v>9</v>
      </c>
      <c r="H36" s="17" t="str">
        <f t="shared" si="1"/>
        <v>Medio</v>
      </c>
      <c r="I36" s="17" t="str">
        <f t="shared" si="2"/>
        <v>Low</v>
      </c>
      <c r="J36" s="17" t="s">
        <v>149</v>
      </c>
      <c r="K36" s="17" t="s">
        <v>284</v>
      </c>
      <c r="L36" s="17" t="s">
        <v>285</v>
      </c>
      <c r="M36" s="17" t="s">
        <v>77</v>
      </c>
      <c r="N36" s="17" t="s">
        <v>286</v>
      </c>
      <c r="O36" s="20">
        <v>46272</v>
      </c>
      <c r="P36" s="17" t="s">
        <v>484</v>
      </c>
      <c r="Q36" s="17">
        <v>1</v>
      </c>
      <c r="R36" s="17">
        <v>3</v>
      </c>
      <c r="S36" s="16">
        <f t="shared" si="5"/>
        <v>3</v>
      </c>
      <c r="T36" s="16" t="str">
        <f t="shared" si="6"/>
        <v>Bajo</v>
      </c>
      <c r="U36" s="17" t="s">
        <v>512</v>
      </c>
      <c r="V36" s="20">
        <v>46296</v>
      </c>
      <c r="W36" s="17" t="s">
        <v>500</v>
      </c>
    </row>
    <row r="37" spans="1:23" ht="66" customHeight="1">
      <c r="A37" s="17" t="s">
        <v>31</v>
      </c>
      <c r="B37" s="17" t="s">
        <v>287</v>
      </c>
      <c r="C37" s="17" t="s">
        <v>288</v>
      </c>
      <c r="D37" s="17" t="s">
        <v>289</v>
      </c>
      <c r="E37" s="17">
        <v>4</v>
      </c>
      <c r="F37" s="17">
        <v>4</v>
      </c>
      <c r="G37" s="17">
        <f t="shared" si="0"/>
        <v>16</v>
      </c>
      <c r="H37" s="17" t="str">
        <f t="shared" si="1"/>
        <v>Alto</v>
      </c>
      <c r="I37" s="17" t="str">
        <f t="shared" si="2"/>
        <v>High</v>
      </c>
      <c r="J37" s="17" t="s">
        <v>149</v>
      </c>
      <c r="K37" s="17" t="s">
        <v>290</v>
      </c>
      <c r="L37" s="17" t="s">
        <v>291</v>
      </c>
      <c r="M37" s="17" t="s">
        <v>195</v>
      </c>
      <c r="N37" s="17" t="s">
        <v>292</v>
      </c>
      <c r="O37" s="20">
        <v>46272</v>
      </c>
      <c r="P37" s="17" t="s">
        <v>26</v>
      </c>
      <c r="Q37" s="17">
        <v>2</v>
      </c>
      <c r="R37" s="17">
        <v>4</v>
      </c>
      <c r="S37" s="16">
        <f t="shared" si="5"/>
        <v>8</v>
      </c>
      <c r="T37" s="16" t="str">
        <f t="shared" si="6"/>
        <v>Medio</v>
      </c>
      <c r="U37" s="17" t="s">
        <v>515</v>
      </c>
      <c r="V37" s="20">
        <v>46291</v>
      </c>
      <c r="W37" s="17" t="s">
        <v>516</v>
      </c>
    </row>
    <row r="38" spans="1:23" ht="66" customHeight="1">
      <c r="A38" s="17" t="s">
        <v>31</v>
      </c>
      <c r="B38" s="17" t="s">
        <v>293</v>
      </c>
      <c r="C38" s="17" t="s">
        <v>294</v>
      </c>
      <c r="D38" s="17" t="s">
        <v>295</v>
      </c>
      <c r="E38" s="17">
        <v>3</v>
      </c>
      <c r="F38" s="17">
        <v>3</v>
      </c>
      <c r="G38" s="17">
        <f t="shared" si="0"/>
        <v>9</v>
      </c>
      <c r="H38" s="17" t="str">
        <f t="shared" si="1"/>
        <v>Medio</v>
      </c>
      <c r="I38" s="17" t="str">
        <f t="shared" si="2"/>
        <v>Low</v>
      </c>
      <c r="J38" s="17" t="s">
        <v>149</v>
      </c>
      <c r="K38" s="17" t="s">
        <v>296</v>
      </c>
      <c r="L38" s="17" t="s">
        <v>297</v>
      </c>
      <c r="M38" s="17" t="s">
        <v>64</v>
      </c>
      <c r="N38" s="17" t="s">
        <v>298</v>
      </c>
      <c r="O38" s="20">
        <v>46272</v>
      </c>
      <c r="P38" s="17" t="s">
        <v>484</v>
      </c>
      <c r="Q38" s="17">
        <v>1</v>
      </c>
      <c r="R38" s="17">
        <v>3</v>
      </c>
      <c r="S38" s="16">
        <f t="shared" si="5"/>
        <v>3</v>
      </c>
      <c r="T38" s="16" t="str">
        <f t="shared" si="6"/>
        <v>Bajo</v>
      </c>
      <c r="U38" s="17" t="s">
        <v>515</v>
      </c>
      <c r="V38" s="20">
        <v>46292</v>
      </c>
      <c r="W38" s="17" t="s">
        <v>500</v>
      </c>
    </row>
    <row r="39" spans="1:23" ht="66" customHeight="1">
      <c r="A39" s="17" t="s">
        <v>34</v>
      </c>
      <c r="B39" s="17" t="s">
        <v>299</v>
      </c>
      <c r="C39" s="17" t="s">
        <v>300</v>
      </c>
      <c r="D39" s="17" t="s">
        <v>301</v>
      </c>
      <c r="E39" s="17">
        <v>3</v>
      </c>
      <c r="F39" s="17">
        <v>3</v>
      </c>
      <c r="G39" s="17">
        <f t="shared" si="0"/>
        <v>9</v>
      </c>
      <c r="H39" s="17" t="str">
        <f t="shared" si="1"/>
        <v>Medio</v>
      </c>
      <c r="I39" s="17" t="str">
        <f t="shared" si="2"/>
        <v>Low</v>
      </c>
      <c r="J39" s="17" t="s">
        <v>149</v>
      </c>
      <c r="K39" s="17" t="s">
        <v>302</v>
      </c>
      <c r="L39" s="17" t="s">
        <v>303</v>
      </c>
      <c r="M39" s="17" t="s">
        <v>195</v>
      </c>
      <c r="N39" s="17" t="s">
        <v>304</v>
      </c>
      <c r="O39" s="20">
        <v>46272</v>
      </c>
      <c r="P39" s="17" t="s">
        <v>484</v>
      </c>
      <c r="Q39" s="17">
        <v>1</v>
      </c>
      <c r="R39" s="17">
        <v>3</v>
      </c>
      <c r="S39" s="16">
        <f t="shared" si="5"/>
        <v>3</v>
      </c>
      <c r="T39" s="16" t="str">
        <f t="shared" si="6"/>
        <v>Bajo</v>
      </c>
      <c r="U39" s="17" t="s">
        <v>517</v>
      </c>
      <c r="V39" s="20">
        <v>46293</v>
      </c>
      <c r="W39" s="17" t="s">
        <v>500</v>
      </c>
    </row>
    <row r="40" spans="1:23" ht="66" customHeight="1">
      <c r="A40" s="17" t="s">
        <v>34</v>
      </c>
      <c r="B40" s="17" t="s">
        <v>305</v>
      </c>
      <c r="C40" s="17" t="s">
        <v>306</v>
      </c>
      <c r="D40" s="17" t="s">
        <v>307</v>
      </c>
      <c r="E40" s="17">
        <v>3</v>
      </c>
      <c r="F40" s="17">
        <v>2</v>
      </c>
      <c r="G40" s="17">
        <f t="shared" si="0"/>
        <v>6</v>
      </c>
      <c r="H40" s="17" t="str">
        <f t="shared" si="1"/>
        <v>Medio</v>
      </c>
      <c r="I40" s="17" t="str">
        <f t="shared" si="2"/>
        <v>Low</v>
      </c>
      <c r="J40" s="17" t="s">
        <v>149</v>
      </c>
      <c r="K40" s="17" t="s">
        <v>308</v>
      </c>
      <c r="L40" s="17" t="s">
        <v>309</v>
      </c>
      <c r="M40" s="17" t="s">
        <v>195</v>
      </c>
      <c r="N40" s="17" t="s">
        <v>310</v>
      </c>
      <c r="O40" s="20">
        <v>46272</v>
      </c>
      <c r="P40" s="17" t="s">
        <v>489</v>
      </c>
      <c r="Q40" s="17">
        <v>1</v>
      </c>
      <c r="R40" s="17">
        <v>2</v>
      </c>
      <c r="S40" s="16">
        <f t="shared" si="5"/>
        <v>2</v>
      </c>
      <c r="T40" s="16" t="str">
        <f t="shared" si="6"/>
        <v>Bajo</v>
      </c>
      <c r="U40" s="17" t="s">
        <v>517</v>
      </c>
      <c r="V40" s="20">
        <v>46294</v>
      </c>
      <c r="W40" s="17" t="s">
        <v>507</v>
      </c>
    </row>
    <row r="41" spans="1:23" ht="66" customHeight="1">
      <c r="A41" s="17" t="s">
        <v>34</v>
      </c>
      <c r="B41" s="17" t="s">
        <v>311</v>
      </c>
      <c r="C41" s="17" t="s">
        <v>312</v>
      </c>
      <c r="D41" s="17" t="s">
        <v>313</v>
      </c>
      <c r="E41" s="17">
        <v>3</v>
      </c>
      <c r="F41" s="17">
        <v>3</v>
      </c>
      <c r="G41" s="17">
        <f t="shared" si="0"/>
        <v>9</v>
      </c>
      <c r="H41" s="17" t="str">
        <f t="shared" si="1"/>
        <v>Medio</v>
      </c>
      <c r="I41" s="17" t="str">
        <f t="shared" si="2"/>
        <v>Low</v>
      </c>
      <c r="J41" s="17" t="s">
        <v>149</v>
      </c>
      <c r="K41" s="17" t="s">
        <v>314</v>
      </c>
      <c r="L41" s="17" t="s">
        <v>315</v>
      </c>
      <c r="M41" s="17" t="s">
        <v>195</v>
      </c>
      <c r="N41" s="17" t="s">
        <v>316</v>
      </c>
      <c r="O41" s="20">
        <v>46272</v>
      </c>
      <c r="P41" s="17" t="s">
        <v>484</v>
      </c>
      <c r="Q41" s="17">
        <v>1</v>
      </c>
      <c r="R41" s="17">
        <v>3</v>
      </c>
      <c r="S41" s="16">
        <f t="shared" si="5"/>
        <v>3</v>
      </c>
      <c r="T41" s="16" t="str">
        <f t="shared" si="6"/>
        <v>Bajo</v>
      </c>
      <c r="U41" s="17" t="s">
        <v>517</v>
      </c>
      <c r="V41" s="20">
        <v>46295</v>
      </c>
      <c r="W41" s="17" t="s">
        <v>500</v>
      </c>
    </row>
    <row r="42" spans="1:23" ht="66" customHeight="1">
      <c r="A42" s="17" t="s">
        <v>38</v>
      </c>
      <c r="B42" s="17" t="s">
        <v>317</v>
      </c>
      <c r="C42" s="17" t="s">
        <v>318</v>
      </c>
      <c r="D42" s="17" t="s">
        <v>319</v>
      </c>
      <c r="E42" s="17">
        <v>3</v>
      </c>
      <c r="F42" s="17">
        <v>4</v>
      </c>
      <c r="G42" s="17">
        <f t="shared" si="0"/>
        <v>12</v>
      </c>
      <c r="H42" s="17" t="str">
        <f t="shared" si="1"/>
        <v>Alto</v>
      </c>
      <c r="I42" s="17" t="str">
        <f t="shared" si="2"/>
        <v>High</v>
      </c>
      <c r="J42" s="17" t="s">
        <v>149</v>
      </c>
      <c r="K42" s="17" t="s">
        <v>320</v>
      </c>
      <c r="L42" s="17" t="s">
        <v>321</v>
      </c>
      <c r="M42" s="17" t="s">
        <v>195</v>
      </c>
      <c r="N42" s="17" t="s">
        <v>322</v>
      </c>
      <c r="O42" s="20">
        <v>46272</v>
      </c>
      <c r="P42" s="17" t="s">
        <v>484</v>
      </c>
      <c r="Q42" s="17">
        <v>1</v>
      </c>
      <c r="R42" s="17">
        <v>4</v>
      </c>
      <c r="S42" s="16">
        <f t="shared" si="5"/>
        <v>4</v>
      </c>
      <c r="T42" s="16" t="str">
        <f t="shared" si="6"/>
        <v>Bajo</v>
      </c>
      <c r="U42" s="17" t="s">
        <v>518</v>
      </c>
      <c r="V42" s="20">
        <v>46296</v>
      </c>
      <c r="W42" s="17" t="s">
        <v>500</v>
      </c>
    </row>
    <row r="43" spans="1:23" ht="66" customHeight="1">
      <c r="A43" s="17" t="s">
        <v>38</v>
      </c>
      <c r="B43" s="17" t="s">
        <v>323</v>
      </c>
      <c r="C43" s="17" t="s">
        <v>324</v>
      </c>
      <c r="D43" s="17" t="s">
        <v>325</v>
      </c>
      <c r="E43" s="17">
        <v>2</v>
      </c>
      <c r="F43" s="17">
        <v>3</v>
      </c>
      <c r="G43" s="17">
        <f t="shared" si="0"/>
        <v>6</v>
      </c>
      <c r="H43" s="17" t="str">
        <f t="shared" si="1"/>
        <v>Medio</v>
      </c>
      <c r="I43" s="17" t="str">
        <f t="shared" si="2"/>
        <v>Low</v>
      </c>
      <c r="J43" s="17" t="s">
        <v>149</v>
      </c>
      <c r="K43" s="17" t="s">
        <v>326</v>
      </c>
      <c r="L43" s="17" t="s">
        <v>327</v>
      </c>
      <c r="M43" s="17" t="s">
        <v>77</v>
      </c>
      <c r="N43" s="17" t="s">
        <v>328</v>
      </c>
      <c r="O43" s="20">
        <v>46272</v>
      </c>
      <c r="P43" s="17" t="s">
        <v>489</v>
      </c>
      <c r="Q43" s="17">
        <v>1</v>
      </c>
      <c r="R43" s="17">
        <v>2</v>
      </c>
      <c r="S43" s="16">
        <f t="shared" si="5"/>
        <v>2</v>
      </c>
      <c r="T43" s="16" t="str">
        <f t="shared" si="6"/>
        <v>Bajo</v>
      </c>
      <c r="U43" s="17" t="s">
        <v>518</v>
      </c>
      <c r="V43" s="20">
        <v>46291</v>
      </c>
      <c r="W43" s="17" t="s">
        <v>507</v>
      </c>
    </row>
    <row r="44" spans="1:23" ht="66" customHeight="1">
      <c r="A44" s="17" t="s">
        <v>41</v>
      </c>
      <c r="B44" s="17" t="s">
        <v>329</v>
      </c>
      <c r="C44" s="17" t="s">
        <v>330</v>
      </c>
      <c r="D44" s="17" t="s">
        <v>331</v>
      </c>
      <c r="E44" s="17">
        <v>2</v>
      </c>
      <c r="F44" s="17">
        <v>5</v>
      </c>
      <c r="G44" s="17">
        <f t="shared" si="0"/>
        <v>10</v>
      </c>
      <c r="H44" s="17" t="str">
        <f t="shared" si="1"/>
        <v>Alto</v>
      </c>
      <c r="I44" s="17" t="str">
        <f t="shared" si="2"/>
        <v>High</v>
      </c>
      <c r="J44" s="17" t="s">
        <v>149</v>
      </c>
      <c r="K44" s="17" t="s">
        <v>332</v>
      </c>
      <c r="L44" s="17" t="s">
        <v>333</v>
      </c>
      <c r="M44" s="17" t="s">
        <v>176</v>
      </c>
      <c r="N44" s="17" t="s">
        <v>334</v>
      </c>
      <c r="O44" s="20">
        <v>46272</v>
      </c>
      <c r="P44" s="17" t="s">
        <v>484</v>
      </c>
      <c r="Q44" s="17">
        <v>1</v>
      </c>
      <c r="R44" s="17">
        <v>4</v>
      </c>
      <c r="S44" s="16">
        <f t="shared" si="5"/>
        <v>4</v>
      </c>
      <c r="T44" s="16" t="str">
        <f t="shared" si="6"/>
        <v>Bajo</v>
      </c>
      <c r="U44" s="17" t="s">
        <v>519</v>
      </c>
      <c r="V44" s="20">
        <v>46292</v>
      </c>
      <c r="W44" s="17" t="s">
        <v>520</v>
      </c>
    </row>
    <row r="45" spans="1:23" ht="66" customHeight="1">
      <c r="A45" s="17" t="s">
        <v>41</v>
      </c>
      <c r="B45" s="17" t="s">
        <v>335</v>
      </c>
      <c r="C45" s="17" t="s">
        <v>336</v>
      </c>
      <c r="D45" s="17" t="s">
        <v>337</v>
      </c>
      <c r="E45" s="17">
        <v>3</v>
      </c>
      <c r="F45" s="17">
        <v>4</v>
      </c>
      <c r="G45" s="17">
        <f t="shared" ref="G45:G66" si="7">IF(OR(E45="",F45=""),"",E45*F45)</f>
        <v>12</v>
      </c>
      <c r="H45" s="17" t="str">
        <f t="shared" ref="H45:H66" si="8">IF(G45="","",IF(G45&gt;=17,"Crítico",IF(G45&gt;=10,"Alto",IF(G45&gt;=5,"Medio","Bajo"))))</f>
        <v>Alto</v>
      </c>
      <c r="I45" s="17" t="str">
        <f t="shared" ref="I45:I66" si="9">IF(H45="","",IF(H45="Crítico","Highest",IF(H45="Alto","High",IF(H45="Medio","Low","Lowest"))))</f>
        <v>High</v>
      </c>
      <c r="J45" s="17" t="s">
        <v>149</v>
      </c>
      <c r="K45" s="17" t="s">
        <v>338</v>
      </c>
      <c r="L45" s="17" t="s">
        <v>339</v>
      </c>
      <c r="M45" s="17" t="s">
        <v>176</v>
      </c>
      <c r="N45" s="17" t="s">
        <v>340</v>
      </c>
      <c r="O45" s="20">
        <v>46272</v>
      </c>
      <c r="P45" s="17" t="s">
        <v>489</v>
      </c>
      <c r="Q45" s="17">
        <v>1</v>
      </c>
      <c r="R45" s="17">
        <v>2</v>
      </c>
      <c r="S45" s="16">
        <f t="shared" si="5"/>
        <v>2</v>
      </c>
      <c r="T45" s="16" t="str">
        <f t="shared" si="6"/>
        <v>Bajo</v>
      </c>
      <c r="U45" s="17" t="s">
        <v>519</v>
      </c>
      <c r="V45" s="20">
        <v>46293</v>
      </c>
      <c r="W45" s="17" t="s">
        <v>507</v>
      </c>
    </row>
    <row r="46" spans="1:23" ht="66" customHeight="1">
      <c r="A46" s="17" t="s">
        <v>41</v>
      </c>
      <c r="B46" s="17" t="s">
        <v>341</v>
      </c>
      <c r="C46" s="17" t="s">
        <v>342</v>
      </c>
      <c r="D46" s="17" t="s">
        <v>343</v>
      </c>
      <c r="E46" s="17">
        <v>3</v>
      </c>
      <c r="F46" s="17">
        <v>3</v>
      </c>
      <c r="G46" s="17">
        <f t="shared" si="7"/>
        <v>9</v>
      </c>
      <c r="H46" s="17" t="str">
        <f t="shared" si="8"/>
        <v>Medio</v>
      </c>
      <c r="I46" s="17" t="str">
        <f t="shared" si="9"/>
        <v>Low</v>
      </c>
      <c r="J46" s="17" t="s">
        <v>149</v>
      </c>
      <c r="K46" s="17" t="s">
        <v>344</v>
      </c>
      <c r="L46" s="17" t="s">
        <v>345</v>
      </c>
      <c r="M46" s="17" t="s">
        <v>61</v>
      </c>
      <c r="N46" s="17" t="s">
        <v>346</v>
      </c>
      <c r="O46" s="20">
        <v>46272</v>
      </c>
      <c r="P46" s="17" t="s">
        <v>484</v>
      </c>
      <c r="Q46" s="17">
        <v>1</v>
      </c>
      <c r="R46" s="17">
        <v>3</v>
      </c>
      <c r="S46" s="16">
        <f t="shared" ref="S46:S77" si="10">IF(OR(Q46="",R46=""),"",Q46*R46)</f>
        <v>3</v>
      </c>
      <c r="T46" s="16" t="str">
        <f t="shared" ref="T46:T77" si="11">IF(S46="","",IF(S46&gt;=17,"Crítico",IF(S46&gt;=10,"Alto",IF(S46&gt;=5,"Medio","Bajo"))))</f>
        <v>Bajo</v>
      </c>
      <c r="U46" s="17" t="s">
        <v>519</v>
      </c>
      <c r="V46" s="20">
        <v>46294</v>
      </c>
      <c r="W46" s="17" t="s">
        <v>500</v>
      </c>
    </row>
    <row r="47" spans="1:23" ht="66" customHeight="1">
      <c r="A47" s="17" t="s">
        <v>44</v>
      </c>
      <c r="B47" s="17" t="s">
        <v>347</v>
      </c>
      <c r="C47" s="17" t="s">
        <v>348</v>
      </c>
      <c r="D47" s="17" t="s">
        <v>349</v>
      </c>
      <c r="E47" s="17">
        <v>3</v>
      </c>
      <c r="F47" s="17">
        <v>3</v>
      </c>
      <c r="G47" s="17">
        <f t="shared" si="7"/>
        <v>9</v>
      </c>
      <c r="H47" s="17" t="str">
        <f t="shared" si="8"/>
        <v>Medio</v>
      </c>
      <c r="I47" s="17" t="str">
        <f t="shared" si="9"/>
        <v>Low</v>
      </c>
      <c r="J47" s="17" t="s">
        <v>149</v>
      </c>
      <c r="K47" s="17" t="s">
        <v>350</v>
      </c>
      <c r="L47" s="17" t="s">
        <v>351</v>
      </c>
      <c r="M47" s="17" t="s">
        <v>61</v>
      </c>
      <c r="N47" s="17" t="s">
        <v>352</v>
      </c>
      <c r="O47" s="20">
        <v>46272</v>
      </c>
      <c r="P47" s="17" t="s">
        <v>484</v>
      </c>
      <c r="Q47" s="17">
        <v>1</v>
      </c>
      <c r="R47" s="17">
        <v>3</v>
      </c>
      <c r="S47" s="16">
        <f t="shared" si="10"/>
        <v>3</v>
      </c>
      <c r="T47" s="16" t="str">
        <f t="shared" si="11"/>
        <v>Bajo</v>
      </c>
      <c r="U47" s="17" t="s">
        <v>521</v>
      </c>
      <c r="V47" s="20">
        <v>46295</v>
      </c>
      <c r="W47" s="17" t="s">
        <v>522</v>
      </c>
    </row>
    <row r="48" spans="1:23" ht="66" customHeight="1">
      <c r="A48" s="17" t="s">
        <v>44</v>
      </c>
      <c r="B48" s="17" t="s">
        <v>353</v>
      </c>
      <c r="C48" s="17" t="s">
        <v>354</v>
      </c>
      <c r="D48" s="17" t="s">
        <v>355</v>
      </c>
      <c r="E48" s="17">
        <v>2</v>
      </c>
      <c r="F48" s="17">
        <v>4</v>
      </c>
      <c r="G48" s="17">
        <f t="shared" si="7"/>
        <v>8</v>
      </c>
      <c r="H48" s="17" t="str">
        <f t="shared" si="8"/>
        <v>Medio</v>
      </c>
      <c r="I48" s="17" t="str">
        <f t="shared" si="9"/>
        <v>Low</v>
      </c>
      <c r="J48" s="17" t="s">
        <v>149</v>
      </c>
      <c r="K48" s="17" t="s">
        <v>356</v>
      </c>
      <c r="L48" s="17" t="s">
        <v>357</v>
      </c>
      <c r="M48" s="17" t="s">
        <v>176</v>
      </c>
      <c r="N48" s="17" t="s">
        <v>358</v>
      </c>
      <c r="O48" s="20">
        <v>46272</v>
      </c>
      <c r="P48" s="17" t="s">
        <v>484</v>
      </c>
      <c r="Q48" s="17">
        <v>1</v>
      </c>
      <c r="R48" s="17">
        <v>4</v>
      </c>
      <c r="S48" s="16">
        <f t="shared" si="10"/>
        <v>4</v>
      </c>
      <c r="T48" s="16" t="str">
        <f t="shared" si="11"/>
        <v>Bajo</v>
      </c>
      <c r="U48" s="17" t="s">
        <v>521</v>
      </c>
      <c r="V48" s="20">
        <v>46296</v>
      </c>
      <c r="W48" s="17" t="s">
        <v>500</v>
      </c>
    </row>
    <row r="49" spans="1:23" ht="66" customHeight="1">
      <c r="A49" s="17" t="s">
        <v>47</v>
      </c>
      <c r="B49" s="17" t="s">
        <v>359</v>
      </c>
      <c r="C49" s="17" t="s">
        <v>360</v>
      </c>
      <c r="D49" s="17" t="s">
        <v>361</v>
      </c>
      <c r="E49" s="17">
        <v>3</v>
      </c>
      <c r="F49" s="17">
        <v>4</v>
      </c>
      <c r="G49" s="17">
        <f t="shared" si="7"/>
        <v>12</v>
      </c>
      <c r="H49" s="17" t="str">
        <f t="shared" si="8"/>
        <v>Alto</v>
      </c>
      <c r="I49" s="17" t="str">
        <f t="shared" si="9"/>
        <v>High</v>
      </c>
      <c r="J49" s="17" t="s">
        <v>149</v>
      </c>
      <c r="K49" s="17" t="s">
        <v>362</v>
      </c>
      <c r="L49" s="17" t="s">
        <v>363</v>
      </c>
      <c r="M49" s="17" t="s">
        <v>61</v>
      </c>
      <c r="N49" s="17" t="s">
        <v>364</v>
      </c>
      <c r="O49" s="20">
        <v>46272</v>
      </c>
      <c r="P49" s="17" t="s">
        <v>484</v>
      </c>
      <c r="Q49" s="17">
        <v>1</v>
      </c>
      <c r="R49" s="17">
        <v>4</v>
      </c>
      <c r="S49" s="16">
        <f t="shared" si="10"/>
        <v>4</v>
      </c>
      <c r="T49" s="16" t="str">
        <f t="shared" si="11"/>
        <v>Bajo</v>
      </c>
      <c r="U49" s="17" t="s">
        <v>523</v>
      </c>
      <c r="V49" s="20">
        <v>46291</v>
      </c>
      <c r="W49" s="17" t="s">
        <v>500</v>
      </c>
    </row>
    <row r="50" spans="1:23" ht="66" customHeight="1">
      <c r="A50" s="17" t="s">
        <v>365</v>
      </c>
      <c r="B50" s="17" t="s">
        <v>366</v>
      </c>
      <c r="C50" s="17" t="s">
        <v>367</v>
      </c>
      <c r="D50" s="17" t="s">
        <v>368</v>
      </c>
      <c r="E50" s="17">
        <v>4</v>
      </c>
      <c r="F50" s="17">
        <v>4</v>
      </c>
      <c r="G50" s="17">
        <f t="shared" si="7"/>
        <v>16</v>
      </c>
      <c r="H50" s="17" t="str">
        <f t="shared" si="8"/>
        <v>Alto</v>
      </c>
      <c r="I50" s="17" t="str">
        <f t="shared" si="9"/>
        <v>High</v>
      </c>
      <c r="J50" s="17" t="s">
        <v>149</v>
      </c>
      <c r="K50" s="17" t="s">
        <v>369</v>
      </c>
      <c r="L50" s="17" t="s">
        <v>370</v>
      </c>
      <c r="M50" s="17" t="s">
        <v>61</v>
      </c>
      <c r="N50" s="17" t="s">
        <v>371</v>
      </c>
      <c r="O50" s="20">
        <v>46272</v>
      </c>
      <c r="P50" s="17" t="s">
        <v>26</v>
      </c>
      <c r="Q50" s="17">
        <v>2</v>
      </c>
      <c r="R50" s="17">
        <v>4</v>
      </c>
      <c r="S50" s="16">
        <f t="shared" si="10"/>
        <v>8</v>
      </c>
      <c r="T50" s="16" t="str">
        <f t="shared" si="11"/>
        <v>Medio</v>
      </c>
      <c r="U50" s="17" t="s">
        <v>524</v>
      </c>
      <c r="V50" s="20">
        <v>46292</v>
      </c>
      <c r="W50" s="17" t="s">
        <v>525</v>
      </c>
    </row>
    <row r="51" spans="1:23" ht="66" customHeight="1">
      <c r="A51" s="17" t="s">
        <v>372</v>
      </c>
      <c r="B51" s="17" t="s">
        <v>373</v>
      </c>
      <c r="C51" s="17" t="s">
        <v>374</v>
      </c>
      <c r="D51" s="17" t="s">
        <v>375</v>
      </c>
      <c r="E51" s="17">
        <v>4</v>
      </c>
      <c r="F51" s="17">
        <v>4</v>
      </c>
      <c r="G51" s="17">
        <f t="shared" si="7"/>
        <v>16</v>
      </c>
      <c r="H51" s="17" t="str">
        <f t="shared" si="8"/>
        <v>Alto</v>
      </c>
      <c r="I51" s="17" t="str">
        <f t="shared" si="9"/>
        <v>High</v>
      </c>
      <c r="J51" s="17" t="s">
        <v>149</v>
      </c>
      <c r="K51" s="17" t="s">
        <v>376</v>
      </c>
      <c r="L51" s="17" t="s">
        <v>377</v>
      </c>
      <c r="M51" s="17" t="s">
        <v>77</v>
      </c>
      <c r="N51" s="17" t="s">
        <v>378</v>
      </c>
      <c r="O51" s="20">
        <v>46272</v>
      </c>
      <c r="P51" s="17" t="s">
        <v>26</v>
      </c>
      <c r="Q51" s="17">
        <v>3</v>
      </c>
      <c r="R51" s="17">
        <v>4</v>
      </c>
      <c r="S51" s="16">
        <f t="shared" si="10"/>
        <v>12</v>
      </c>
      <c r="T51" s="16" t="str">
        <f t="shared" si="11"/>
        <v>Alto</v>
      </c>
      <c r="U51" s="17" t="s">
        <v>526</v>
      </c>
      <c r="V51" s="20">
        <v>46293</v>
      </c>
      <c r="W51" s="17" t="s">
        <v>527</v>
      </c>
    </row>
    <row r="52" spans="1:23" ht="66" customHeight="1">
      <c r="A52" s="17" t="s">
        <v>372</v>
      </c>
      <c r="B52" s="17" t="s">
        <v>379</v>
      </c>
      <c r="C52" s="17" t="s">
        <v>380</v>
      </c>
      <c r="D52" s="17" t="s">
        <v>381</v>
      </c>
      <c r="E52" s="17">
        <v>3</v>
      </c>
      <c r="F52" s="17">
        <v>4</v>
      </c>
      <c r="G52" s="17">
        <f t="shared" si="7"/>
        <v>12</v>
      </c>
      <c r="H52" s="17" t="str">
        <f t="shared" si="8"/>
        <v>Alto</v>
      </c>
      <c r="I52" s="17" t="str">
        <f t="shared" si="9"/>
        <v>High</v>
      </c>
      <c r="J52" s="17" t="s">
        <v>149</v>
      </c>
      <c r="K52" s="17" t="s">
        <v>382</v>
      </c>
      <c r="L52" s="17" t="s">
        <v>383</v>
      </c>
      <c r="M52" s="17" t="s">
        <v>77</v>
      </c>
      <c r="N52" s="17" t="s">
        <v>384</v>
      </c>
      <c r="O52" s="20">
        <v>46272</v>
      </c>
      <c r="P52" s="17" t="s">
        <v>484</v>
      </c>
      <c r="Q52" s="17">
        <v>1</v>
      </c>
      <c r="R52" s="17">
        <v>4</v>
      </c>
      <c r="S52" s="16">
        <f t="shared" si="10"/>
        <v>4</v>
      </c>
      <c r="T52" s="16" t="str">
        <f t="shared" si="11"/>
        <v>Bajo</v>
      </c>
      <c r="U52" s="17" t="s">
        <v>526</v>
      </c>
      <c r="V52" s="20">
        <v>46294</v>
      </c>
      <c r="W52" s="17" t="s">
        <v>500</v>
      </c>
    </row>
    <row r="53" spans="1:23" ht="66" customHeight="1">
      <c r="A53" s="17" t="s">
        <v>372</v>
      </c>
      <c r="B53" s="17" t="s">
        <v>385</v>
      </c>
      <c r="C53" s="17" t="s">
        <v>386</v>
      </c>
      <c r="D53" s="17" t="s">
        <v>387</v>
      </c>
      <c r="E53" s="17">
        <v>3</v>
      </c>
      <c r="F53" s="17">
        <v>5</v>
      </c>
      <c r="G53" s="17">
        <f t="shared" si="7"/>
        <v>15</v>
      </c>
      <c r="H53" s="17" t="str">
        <f t="shared" si="8"/>
        <v>Alto</v>
      </c>
      <c r="I53" s="17" t="str">
        <f t="shared" si="9"/>
        <v>High</v>
      </c>
      <c r="J53" s="17" t="s">
        <v>142</v>
      </c>
      <c r="K53" s="17" t="s">
        <v>388</v>
      </c>
      <c r="L53" s="17" t="s">
        <v>389</v>
      </c>
      <c r="M53" s="17" t="s">
        <v>62</v>
      </c>
      <c r="N53" s="17" t="s">
        <v>390</v>
      </c>
      <c r="O53" s="20">
        <v>46272</v>
      </c>
      <c r="P53" s="17" t="s">
        <v>484</v>
      </c>
      <c r="Q53" s="17">
        <v>1</v>
      </c>
      <c r="R53" s="17">
        <v>4</v>
      </c>
      <c r="S53" s="16">
        <f t="shared" si="10"/>
        <v>4</v>
      </c>
      <c r="T53" s="16" t="str">
        <f t="shared" si="11"/>
        <v>Bajo</v>
      </c>
      <c r="U53" s="17" t="s">
        <v>526</v>
      </c>
      <c r="V53" s="20">
        <v>46295</v>
      </c>
      <c r="W53" s="17" t="s">
        <v>500</v>
      </c>
    </row>
    <row r="54" spans="1:23" ht="66" customHeight="1">
      <c r="A54" s="17" t="s">
        <v>391</v>
      </c>
      <c r="B54" s="17" t="s">
        <v>392</v>
      </c>
      <c r="C54" s="17" t="s">
        <v>393</v>
      </c>
      <c r="D54" s="17" t="s">
        <v>394</v>
      </c>
      <c r="E54" s="17">
        <v>4</v>
      </c>
      <c r="F54" s="17">
        <v>4</v>
      </c>
      <c r="G54" s="17">
        <f t="shared" si="7"/>
        <v>16</v>
      </c>
      <c r="H54" s="17" t="str">
        <f t="shared" si="8"/>
        <v>Alto</v>
      </c>
      <c r="I54" s="17" t="str">
        <f t="shared" si="9"/>
        <v>High</v>
      </c>
      <c r="J54" s="17" t="s">
        <v>149</v>
      </c>
      <c r="K54" s="17" t="s">
        <v>395</v>
      </c>
      <c r="L54" s="17" t="s">
        <v>396</v>
      </c>
      <c r="M54" s="17" t="s">
        <v>62</v>
      </c>
      <c r="N54" s="17" t="s">
        <v>397</v>
      </c>
      <c r="O54" s="20">
        <v>46272</v>
      </c>
      <c r="P54" s="17" t="s">
        <v>26</v>
      </c>
      <c r="Q54" s="17">
        <v>3</v>
      </c>
      <c r="R54" s="17">
        <v>4</v>
      </c>
      <c r="S54" s="16">
        <f t="shared" si="10"/>
        <v>12</v>
      </c>
      <c r="T54" s="16" t="str">
        <f t="shared" si="11"/>
        <v>Alto</v>
      </c>
      <c r="U54" s="17" t="s">
        <v>528</v>
      </c>
      <c r="V54" s="20">
        <v>46296</v>
      </c>
      <c r="W54" s="17" t="s">
        <v>529</v>
      </c>
    </row>
    <row r="55" spans="1:23" ht="66" customHeight="1">
      <c r="A55" s="17" t="s">
        <v>398</v>
      </c>
      <c r="B55" s="17" t="s">
        <v>399</v>
      </c>
      <c r="C55" s="17" t="s">
        <v>400</v>
      </c>
      <c r="D55" s="17" t="s">
        <v>401</v>
      </c>
      <c r="E55" s="17">
        <v>3</v>
      </c>
      <c r="F55" s="17">
        <v>4</v>
      </c>
      <c r="G55" s="17">
        <f t="shared" si="7"/>
        <v>12</v>
      </c>
      <c r="H55" s="17" t="str">
        <f t="shared" si="8"/>
        <v>Alto</v>
      </c>
      <c r="I55" s="17" t="str">
        <f t="shared" si="9"/>
        <v>High</v>
      </c>
      <c r="J55" s="17" t="s">
        <v>149</v>
      </c>
      <c r="K55" s="17" t="s">
        <v>402</v>
      </c>
      <c r="L55" s="17" t="s">
        <v>403</v>
      </c>
      <c r="M55" s="17" t="s">
        <v>62</v>
      </c>
      <c r="N55" s="17" t="s">
        <v>404</v>
      </c>
      <c r="O55" s="20">
        <v>46272</v>
      </c>
      <c r="P55" s="17" t="s">
        <v>484</v>
      </c>
      <c r="Q55" s="17">
        <v>1</v>
      </c>
      <c r="R55" s="17">
        <v>4</v>
      </c>
      <c r="S55" s="16">
        <f t="shared" si="10"/>
        <v>4</v>
      </c>
      <c r="T55" s="16" t="str">
        <f t="shared" si="11"/>
        <v>Bajo</v>
      </c>
      <c r="U55" s="17" t="s">
        <v>530</v>
      </c>
      <c r="V55" s="20">
        <v>46291</v>
      </c>
      <c r="W55" s="17" t="s">
        <v>500</v>
      </c>
    </row>
    <row r="56" spans="1:23" ht="66" customHeight="1">
      <c r="A56" s="17" t="s">
        <v>398</v>
      </c>
      <c r="B56" s="17" t="s">
        <v>405</v>
      </c>
      <c r="C56" s="17" t="s">
        <v>406</v>
      </c>
      <c r="D56" s="17" t="s">
        <v>407</v>
      </c>
      <c r="E56" s="17">
        <v>3</v>
      </c>
      <c r="F56" s="17">
        <v>4</v>
      </c>
      <c r="G56" s="17">
        <f t="shared" si="7"/>
        <v>12</v>
      </c>
      <c r="H56" s="17" t="str">
        <f t="shared" si="8"/>
        <v>Alto</v>
      </c>
      <c r="I56" s="17" t="str">
        <f t="shared" si="9"/>
        <v>High</v>
      </c>
      <c r="J56" s="17" t="s">
        <v>149</v>
      </c>
      <c r="K56" s="17" t="s">
        <v>408</v>
      </c>
      <c r="L56" s="17" t="s">
        <v>409</v>
      </c>
      <c r="M56" s="17" t="s">
        <v>62</v>
      </c>
      <c r="N56" s="17" t="s">
        <v>410</v>
      </c>
      <c r="O56" s="20">
        <v>46272</v>
      </c>
      <c r="P56" s="17" t="s">
        <v>484</v>
      </c>
      <c r="Q56" s="17">
        <v>1</v>
      </c>
      <c r="R56" s="17">
        <v>4</v>
      </c>
      <c r="S56" s="16">
        <f t="shared" si="10"/>
        <v>4</v>
      </c>
      <c r="T56" s="16" t="str">
        <f t="shared" si="11"/>
        <v>Bajo</v>
      </c>
      <c r="U56" s="17" t="s">
        <v>530</v>
      </c>
      <c r="V56" s="20">
        <v>46292</v>
      </c>
      <c r="W56" s="17" t="s">
        <v>500</v>
      </c>
    </row>
    <row r="57" spans="1:23" ht="66" customHeight="1">
      <c r="A57" s="17" t="s">
        <v>411</v>
      </c>
      <c r="B57" s="17" t="s">
        <v>412</v>
      </c>
      <c r="C57" s="17" t="s">
        <v>413</v>
      </c>
      <c r="D57" s="17" t="s">
        <v>414</v>
      </c>
      <c r="E57" s="17">
        <v>3</v>
      </c>
      <c r="F57" s="17">
        <v>3</v>
      </c>
      <c r="G57" s="17">
        <f t="shared" si="7"/>
        <v>9</v>
      </c>
      <c r="H57" s="17" t="str">
        <f t="shared" si="8"/>
        <v>Medio</v>
      </c>
      <c r="I57" s="17" t="str">
        <f t="shared" si="9"/>
        <v>Low</v>
      </c>
      <c r="J57" s="17" t="s">
        <v>149</v>
      </c>
      <c r="K57" s="17" t="s">
        <v>415</v>
      </c>
      <c r="L57" s="17" t="s">
        <v>416</v>
      </c>
      <c r="M57" s="17" t="s">
        <v>62</v>
      </c>
      <c r="N57" s="17" t="s">
        <v>417</v>
      </c>
      <c r="O57" s="20">
        <v>46272</v>
      </c>
      <c r="P57" s="17" t="s">
        <v>26</v>
      </c>
      <c r="Q57" s="17">
        <v>3</v>
      </c>
      <c r="R57" s="17">
        <v>3</v>
      </c>
      <c r="S57" s="16">
        <f t="shared" si="10"/>
        <v>9</v>
      </c>
      <c r="T57" s="16" t="str">
        <f t="shared" si="11"/>
        <v>Medio</v>
      </c>
      <c r="U57" s="17" t="s">
        <v>531</v>
      </c>
      <c r="V57" s="20">
        <v>46293</v>
      </c>
      <c r="W57" s="17" t="s">
        <v>532</v>
      </c>
    </row>
    <row r="58" spans="1:23" ht="66" customHeight="1">
      <c r="A58" s="17" t="s">
        <v>418</v>
      </c>
      <c r="B58" s="17" t="s">
        <v>419</v>
      </c>
      <c r="C58" s="17" t="s">
        <v>420</v>
      </c>
      <c r="D58" s="17" t="s">
        <v>421</v>
      </c>
      <c r="E58" s="17">
        <v>2</v>
      </c>
      <c r="F58" s="17">
        <v>5</v>
      </c>
      <c r="G58" s="17">
        <f t="shared" si="7"/>
        <v>10</v>
      </c>
      <c r="H58" s="17" t="str">
        <f t="shared" si="8"/>
        <v>Alto</v>
      </c>
      <c r="I58" s="17" t="str">
        <f t="shared" si="9"/>
        <v>High</v>
      </c>
      <c r="J58" s="17" t="s">
        <v>149</v>
      </c>
      <c r="K58" s="17" t="s">
        <v>422</v>
      </c>
      <c r="L58" s="17" t="s">
        <v>423</v>
      </c>
      <c r="M58" s="17" t="s">
        <v>61</v>
      </c>
      <c r="N58" s="17" t="s">
        <v>424</v>
      </c>
      <c r="O58" s="20">
        <v>46272</v>
      </c>
      <c r="P58" s="17" t="s">
        <v>489</v>
      </c>
      <c r="Q58" s="17">
        <v>1</v>
      </c>
      <c r="R58" s="17">
        <v>2</v>
      </c>
      <c r="S58" s="16">
        <f t="shared" si="10"/>
        <v>2</v>
      </c>
      <c r="T58" s="16" t="str">
        <f t="shared" si="11"/>
        <v>Bajo</v>
      </c>
      <c r="U58" s="17" t="s">
        <v>533</v>
      </c>
      <c r="V58" s="20">
        <v>46294</v>
      </c>
      <c r="W58" s="17" t="s">
        <v>507</v>
      </c>
    </row>
    <row r="59" spans="1:23" ht="66" customHeight="1">
      <c r="A59" s="17" t="s">
        <v>425</v>
      </c>
      <c r="B59" s="17" t="s">
        <v>426</v>
      </c>
      <c r="C59" s="17" t="s">
        <v>427</v>
      </c>
      <c r="D59" s="17" t="s">
        <v>428</v>
      </c>
      <c r="E59" s="17">
        <v>3</v>
      </c>
      <c r="F59" s="17">
        <v>4</v>
      </c>
      <c r="G59" s="17">
        <f t="shared" si="7"/>
        <v>12</v>
      </c>
      <c r="H59" s="17" t="str">
        <f t="shared" si="8"/>
        <v>Alto</v>
      </c>
      <c r="I59" s="17" t="str">
        <f t="shared" si="9"/>
        <v>High</v>
      </c>
      <c r="J59" s="17" t="s">
        <v>149</v>
      </c>
      <c r="K59" s="17" t="s">
        <v>429</v>
      </c>
      <c r="L59" s="17" t="s">
        <v>430</v>
      </c>
      <c r="M59" s="17" t="s">
        <v>64</v>
      </c>
      <c r="N59" s="17" t="s">
        <v>431</v>
      </c>
      <c r="O59" s="20">
        <v>46272</v>
      </c>
      <c r="P59" s="17" t="s">
        <v>26</v>
      </c>
      <c r="Q59" s="17">
        <v>2</v>
      </c>
      <c r="R59" s="17">
        <v>4</v>
      </c>
      <c r="S59" s="16">
        <f t="shared" si="10"/>
        <v>8</v>
      </c>
      <c r="T59" s="16" t="str">
        <f t="shared" si="11"/>
        <v>Medio</v>
      </c>
      <c r="U59" s="17" t="s">
        <v>534</v>
      </c>
      <c r="V59" s="20">
        <v>46295</v>
      </c>
      <c r="W59" s="17" t="s">
        <v>535</v>
      </c>
    </row>
    <row r="60" spans="1:23" ht="66" customHeight="1">
      <c r="A60" s="17" t="s">
        <v>425</v>
      </c>
      <c r="B60" s="17" t="s">
        <v>432</v>
      </c>
      <c r="C60" s="17" t="s">
        <v>433</v>
      </c>
      <c r="D60" s="17" t="s">
        <v>434</v>
      </c>
      <c r="E60" s="17">
        <v>3</v>
      </c>
      <c r="F60" s="17">
        <v>4</v>
      </c>
      <c r="G60" s="17">
        <f t="shared" si="7"/>
        <v>12</v>
      </c>
      <c r="H60" s="17" t="str">
        <f t="shared" si="8"/>
        <v>Alto</v>
      </c>
      <c r="I60" s="17" t="str">
        <f t="shared" si="9"/>
        <v>High</v>
      </c>
      <c r="J60" s="17" t="s">
        <v>149</v>
      </c>
      <c r="K60" s="17" t="s">
        <v>435</v>
      </c>
      <c r="L60" s="17" t="s">
        <v>436</v>
      </c>
      <c r="M60" s="17" t="s">
        <v>62</v>
      </c>
      <c r="N60" s="17" t="s">
        <v>437</v>
      </c>
      <c r="O60" s="20">
        <v>46272</v>
      </c>
      <c r="P60" s="17" t="s">
        <v>26</v>
      </c>
      <c r="Q60" s="17">
        <v>3</v>
      </c>
      <c r="R60" s="17">
        <v>4</v>
      </c>
      <c r="S60" s="16">
        <f t="shared" si="10"/>
        <v>12</v>
      </c>
      <c r="T60" s="16" t="str">
        <f t="shared" si="11"/>
        <v>Alto</v>
      </c>
      <c r="U60" s="17" t="s">
        <v>534</v>
      </c>
      <c r="V60" s="20">
        <v>46296</v>
      </c>
      <c r="W60" s="17" t="s">
        <v>536</v>
      </c>
    </row>
    <row r="61" spans="1:23" ht="66" customHeight="1">
      <c r="A61" s="17" t="s">
        <v>438</v>
      </c>
      <c r="B61" s="17" t="s">
        <v>439</v>
      </c>
      <c r="C61" s="17" t="s">
        <v>440</v>
      </c>
      <c r="D61" s="17" t="s">
        <v>441</v>
      </c>
      <c r="E61" s="17">
        <v>3</v>
      </c>
      <c r="F61" s="17">
        <v>5</v>
      </c>
      <c r="G61" s="17">
        <f t="shared" si="7"/>
        <v>15</v>
      </c>
      <c r="H61" s="17" t="str">
        <f t="shared" si="8"/>
        <v>Alto</v>
      </c>
      <c r="I61" s="17" t="str">
        <f t="shared" si="9"/>
        <v>High</v>
      </c>
      <c r="J61" s="17" t="s">
        <v>149</v>
      </c>
      <c r="K61" s="17" t="s">
        <v>442</v>
      </c>
      <c r="L61" s="17" t="s">
        <v>443</v>
      </c>
      <c r="M61" s="17" t="s">
        <v>64</v>
      </c>
      <c r="N61" s="17" t="s">
        <v>444</v>
      </c>
      <c r="O61" s="20">
        <v>46272</v>
      </c>
      <c r="P61" s="17" t="s">
        <v>26</v>
      </c>
      <c r="Q61" s="17">
        <v>2</v>
      </c>
      <c r="R61" s="17">
        <v>5</v>
      </c>
      <c r="S61" s="16">
        <f t="shared" si="10"/>
        <v>10</v>
      </c>
      <c r="T61" s="16" t="str">
        <f t="shared" si="11"/>
        <v>Alto</v>
      </c>
      <c r="U61" s="17" t="s">
        <v>537</v>
      </c>
      <c r="V61" s="20">
        <v>46291</v>
      </c>
      <c r="W61" s="17" t="s">
        <v>538</v>
      </c>
    </row>
    <row r="62" spans="1:23" ht="66" customHeight="1">
      <c r="A62" s="17" t="s">
        <v>445</v>
      </c>
      <c r="B62" s="17" t="s">
        <v>446</v>
      </c>
      <c r="C62" s="17" t="s">
        <v>447</v>
      </c>
      <c r="D62" s="17" t="s">
        <v>448</v>
      </c>
      <c r="E62" s="17">
        <v>3</v>
      </c>
      <c r="F62" s="17">
        <v>3</v>
      </c>
      <c r="G62" s="17">
        <f t="shared" si="7"/>
        <v>9</v>
      </c>
      <c r="H62" s="17" t="str">
        <f t="shared" si="8"/>
        <v>Medio</v>
      </c>
      <c r="I62" s="17" t="str">
        <f t="shared" si="9"/>
        <v>Low</v>
      </c>
      <c r="J62" s="17" t="s">
        <v>149</v>
      </c>
      <c r="K62" s="17" t="s">
        <v>449</v>
      </c>
      <c r="L62" s="17" t="s">
        <v>450</v>
      </c>
      <c r="M62" s="17" t="s">
        <v>61</v>
      </c>
      <c r="N62" s="17" t="s">
        <v>451</v>
      </c>
      <c r="O62" s="20">
        <v>46272</v>
      </c>
      <c r="P62" s="17" t="s">
        <v>484</v>
      </c>
      <c r="Q62" s="17">
        <v>1</v>
      </c>
      <c r="R62" s="17">
        <v>3</v>
      </c>
      <c r="S62" s="16">
        <f t="shared" si="10"/>
        <v>3</v>
      </c>
      <c r="T62" s="16" t="str">
        <f t="shared" si="11"/>
        <v>Bajo</v>
      </c>
      <c r="U62" s="17" t="s">
        <v>539</v>
      </c>
      <c r="V62" s="20">
        <v>46292</v>
      </c>
      <c r="W62" s="17" t="s">
        <v>500</v>
      </c>
    </row>
    <row r="63" spans="1:23" ht="66" customHeight="1">
      <c r="A63" s="17" t="s">
        <v>452</v>
      </c>
      <c r="B63" s="17" t="s">
        <v>453</v>
      </c>
      <c r="C63" s="17" t="s">
        <v>454</v>
      </c>
      <c r="D63" s="17" t="s">
        <v>455</v>
      </c>
      <c r="E63" s="17">
        <v>3</v>
      </c>
      <c r="F63" s="17">
        <v>4</v>
      </c>
      <c r="G63" s="17">
        <f t="shared" si="7"/>
        <v>12</v>
      </c>
      <c r="H63" s="17" t="str">
        <f t="shared" si="8"/>
        <v>Alto</v>
      </c>
      <c r="I63" s="17" t="str">
        <f t="shared" si="9"/>
        <v>High</v>
      </c>
      <c r="J63" s="17" t="s">
        <v>149</v>
      </c>
      <c r="K63" s="17" t="s">
        <v>456</v>
      </c>
      <c r="L63" s="17" t="s">
        <v>457</v>
      </c>
      <c r="M63" s="17" t="s">
        <v>64</v>
      </c>
      <c r="N63" s="17" t="s">
        <v>458</v>
      </c>
      <c r="O63" s="20">
        <v>46272</v>
      </c>
      <c r="P63" s="17" t="s">
        <v>484</v>
      </c>
      <c r="Q63" s="17">
        <v>1</v>
      </c>
      <c r="R63" s="17">
        <v>4</v>
      </c>
      <c r="S63" s="16">
        <f t="shared" si="10"/>
        <v>4</v>
      </c>
      <c r="T63" s="16" t="str">
        <f t="shared" si="11"/>
        <v>Bajo</v>
      </c>
      <c r="U63" s="17" t="s">
        <v>540</v>
      </c>
      <c r="V63" s="20">
        <v>46293</v>
      </c>
      <c r="W63" s="17" t="s">
        <v>541</v>
      </c>
    </row>
    <row r="64" spans="1:23" ht="66" customHeight="1">
      <c r="A64" s="17" t="s">
        <v>459</v>
      </c>
      <c r="B64" s="17" t="s">
        <v>460</v>
      </c>
      <c r="C64" s="17" t="s">
        <v>461</v>
      </c>
      <c r="D64" s="17" t="s">
        <v>462</v>
      </c>
      <c r="E64" s="17">
        <v>2</v>
      </c>
      <c r="F64" s="17">
        <v>5</v>
      </c>
      <c r="G64" s="17">
        <f t="shared" si="7"/>
        <v>10</v>
      </c>
      <c r="H64" s="17" t="str">
        <f t="shared" si="8"/>
        <v>Alto</v>
      </c>
      <c r="I64" s="17" t="str">
        <f t="shared" si="9"/>
        <v>High</v>
      </c>
      <c r="J64" s="17" t="s">
        <v>149</v>
      </c>
      <c r="K64" s="17" t="s">
        <v>463</v>
      </c>
      <c r="L64" s="17" t="s">
        <v>464</v>
      </c>
      <c r="M64" s="17" t="s">
        <v>62</v>
      </c>
      <c r="N64" s="17" t="s">
        <v>465</v>
      </c>
      <c r="O64" s="20">
        <v>46272</v>
      </c>
      <c r="P64" s="17" t="s">
        <v>484</v>
      </c>
      <c r="Q64" s="17">
        <v>1</v>
      </c>
      <c r="R64" s="17">
        <v>4</v>
      </c>
      <c r="S64" s="16">
        <f t="shared" si="10"/>
        <v>4</v>
      </c>
      <c r="T64" s="16" t="str">
        <f t="shared" si="11"/>
        <v>Bajo</v>
      </c>
      <c r="U64" s="17" t="s">
        <v>542</v>
      </c>
      <c r="V64" s="20">
        <v>46294</v>
      </c>
      <c r="W64" s="17" t="s">
        <v>500</v>
      </c>
    </row>
    <row r="65" spans="1:23" ht="66" customHeight="1">
      <c r="A65" s="17" t="s">
        <v>466</v>
      </c>
      <c r="B65" s="17" t="s">
        <v>467</v>
      </c>
      <c r="C65" s="17" t="s">
        <v>468</v>
      </c>
      <c r="D65" s="17" t="s">
        <v>469</v>
      </c>
      <c r="E65" s="17">
        <v>3</v>
      </c>
      <c r="F65" s="17">
        <v>5</v>
      </c>
      <c r="G65" s="17">
        <f t="shared" si="7"/>
        <v>15</v>
      </c>
      <c r="H65" s="17" t="str">
        <f t="shared" si="8"/>
        <v>Alto</v>
      </c>
      <c r="I65" s="17" t="str">
        <f t="shared" si="9"/>
        <v>High</v>
      </c>
      <c r="J65" s="17" t="s">
        <v>149</v>
      </c>
      <c r="K65" s="17" t="s">
        <v>470</v>
      </c>
      <c r="L65" s="17" t="s">
        <v>471</v>
      </c>
      <c r="M65" s="17" t="s">
        <v>61</v>
      </c>
      <c r="N65" s="17" t="s">
        <v>472</v>
      </c>
      <c r="O65" s="20">
        <v>46272</v>
      </c>
      <c r="P65" s="17" t="s">
        <v>26</v>
      </c>
      <c r="Q65" s="17">
        <v>2</v>
      </c>
      <c r="R65" s="17">
        <v>5</v>
      </c>
      <c r="S65" s="16">
        <f t="shared" si="10"/>
        <v>10</v>
      </c>
      <c r="T65" s="16" t="str">
        <f t="shared" si="11"/>
        <v>Alto</v>
      </c>
      <c r="U65" s="17" t="s">
        <v>543</v>
      </c>
      <c r="V65" s="20">
        <v>46295</v>
      </c>
      <c r="W65" s="17" t="s">
        <v>544</v>
      </c>
    </row>
    <row r="66" spans="1:23" ht="66" customHeight="1">
      <c r="A66" s="18" t="s">
        <v>466</v>
      </c>
      <c r="B66" s="18" t="s">
        <v>473</v>
      </c>
      <c r="C66" s="18" t="s">
        <v>474</v>
      </c>
      <c r="D66" s="18" t="s">
        <v>475</v>
      </c>
      <c r="E66" s="18">
        <v>3</v>
      </c>
      <c r="F66" s="18">
        <v>3</v>
      </c>
      <c r="G66" s="18">
        <f t="shared" si="7"/>
        <v>9</v>
      </c>
      <c r="H66" s="18" t="str">
        <f t="shared" si="8"/>
        <v>Medio</v>
      </c>
      <c r="I66" s="18" t="str">
        <f t="shared" si="9"/>
        <v>Low</v>
      </c>
      <c r="J66" s="18" t="s">
        <v>149</v>
      </c>
      <c r="K66" s="18" t="s">
        <v>476</v>
      </c>
      <c r="L66" s="18" t="s">
        <v>477</v>
      </c>
      <c r="M66" s="18" t="s">
        <v>77</v>
      </c>
      <c r="N66" s="18" t="s">
        <v>478</v>
      </c>
      <c r="O66" s="21">
        <v>46272</v>
      </c>
      <c r="P66" s="18" t="s">
        <v>489</v>
      </c>
      <c r="Q66" s="18">
        <v>1</v>
      </c>
      <c r="R66" s="18">
        <v>2</v>
      </c>
      <c r="S66" s="16">
        <f t="shared" si="10"/>
        <v>2</v>
      </c>
      <c r="T66" s="16" t="str">
        <f t="shared" si="11"/>
        <v>Bajo</v>
      </c>
      <c r="U66" s="18" t="s">
        <v>543</v>
      </c>
      <c r="V66" s="21">
        <v>46296</v>
      </c>
      <c r="W66" s="18" t="s">
        <v>507</v>
      </c>
    </row>
  </sheetData>
  <mergeCells count="26">
    <mergeCell ref="A10:W10"/>
    <mergeCell ref="A6:W6"/>
    <mergeCell ref="A7:C7"/>
    <mergeCell ref="A8:C9"/>
    <mergeCell ref="E7:G7"/>
    <mergeCell ref="E8:G9"/>
    <mergeCell ref="I7:K7"/>
    <mergeCell ref="I8:K9"/>
    <mergeCell ref="M7:O7"/>
    <mergeCell ref="M8:O9"/>
    <mergeCell ref="Q7:S7"/>
    <mergeCell ref="Q8:S9"/>
    <mergeCell ref="U7:W7"/>
    <mergeCell ref="U8:W9"/>
    <mergeCell ref="A4:D4"/>
    <mergeCell ref="E4:H4"/>
    <mergeCell ref="I4:L4"/>
    <mergeCell ref="M4:Q4"/>
    <mergeCell ref="R4:W4"/>
    <mergeCell ref="C1:W1"/>
    <mergeCell ref="C2:W2"/>
    <mergeCell ref="A3:D3"/>
    <mergeCell ref="E3:H3"/>
    <mergeCell ref="I3:L3"/>
    <mergeCell ref="M3:Q3"/>
    <mergeCell ref="R3:W3"/>
  </mergeCells>
  <conditionalFormatting sqref="G13:G66">
    <cfRule type="dataBar" priority="17">
      <dataBar>
        <cfvo type="min"/>
        <cfvo type="max"/>
        <color rgb="FFC92351"/>
      </dataBar>
    </cfRule>
    <cfRule type="dataBar" priority="19">
      <dataBar>
        <cfvo type="min"/>
        <cfvo type="max"/>
        <color rgb="FFC92351"/>
      </dataBar>
    </cfRule>
    <cfRule type="dataBar" priority="21">
      <dataBar>
        <cfvo type="min"/>
        <cfvo type="max"/>
        <color rgb="FFC92351"/>
      </dataBar>
      <extLst>
        <ext xmlns:x14="http://schemas.microsoft.com/office/spreadsheetml/2009/9/main" uri="{B025F937-C7B1-47D3-B67F-A62EFF666E3E}">
          <x14:id>{2D1695D3-87D1-1B12-801A-D4DA83106447}</x14:id>
        </ext>
      </extLst>
    </cfRule>
  </conditionalFormatting>
  <conditionalFormatting sqref="H13:H66">
    <cfRule type="cellIs" dxfId="15" priority="1" operator="equal">
      <formula>"Crítico"</formula>
    </cfRule>
    <cfRule type="cellIs" dxfId="14" priority="2" operator="equal">
      <formula>"Alto"</formula>
    </cfRule>
    <cfRule type="cellIs" dxfId="13" priority="3" operator="equal">
      <formula>"Medio"</formula>
    </cfRule>
    <cfRule type="cellIs" dxfId="12" priority="4" operator="equal">
      <formula>"Bajo"</formula>
    </cfRule>
  </conditionalFormatting>
  <conditionalFormatting sqref="I13:I66">
    <cfRule type="cellIs" dxfId="11" priority="9" operator="equal">
      <formula>"Highest"</formula>
    </cfRule>
    <cfRule type="cellIs" dxfId="10" priority="10" operator="equal">
      <formula>"High"</formula>
    </cfRule>
    <cfRule type="cellIs" dxfId="9" priority="11" operator="equal">
      <formula>"Low"</formula>
    </cfRule>
    <cfRule type="cellIs" dxfId="8" priority="12" operator="equal">
      <formula>"Lowest"</formula>
    </cfRule>
  </conditionalFormatting>
  <conditionalFormatting sqref="P13:P66">
    <cfRule type="cellIs" dxfId="7" priority="13" operator="equal">
      <formula>"Materializado"</formula>
    </cfRule>
    <cfRule type="cellIs" dxfId="6" priority="14" operator="equal">
      <formula>"En tratamiento"</formula>
    </cfRule>
    <cfRule type="cellIs" dxfId="5" priority="15" operator="equal">
      <formula>"Controlado"</formula>
    </cfRule>
    <cfRule type="cellIs" dxfId="4" priority="16" operator="equal">
      <formula>"Cerrado"</formula>
    </cfRule>
  </conditionalFormatting>
  <conditionalFormatting sqref="S13:S66">
    <cfRule type="dataBar" priority="18">
      <dataBar>
        <cfvo type="min"/>
        <cfvo type="max"/>
        <color rgb="FF2A3966"/>
      </dataBar>
    </cfRule>
    <cfRule type="dataBar" priority="20">
      <dataBar>
        <cfvo type="min"/>
        <cfvo type="max"/>
        <color rgb="FF2A3966"/>
      </dataBar>
    </cfRule>
    <cfRule type="dataBar" priority="22">
      <dataBar>
        <cfvo type="min"/>
        <cfvo type="max"/>
        <color rgb="FF2A3966"/>
      </dataBar>
      <extLst>
        <ext xmlns:x14="http://schemas.microsoft.com/office/spreadsheetml/2009/9/main" uri="{B025F937-C7B1-47D3-B67F-A62EFF666E3E}">
          <x14:id>{AAA9D201-7BC1-F9F1-FA7F-9ED8F3048808}</x14:id>
        </ext>
      </extLst>
    </cfRule>
  </conditionalFormatting>
  <conditionalFormatting sqref="T13:T66">
    <cfRule type="cellIs" dxfId="3" priority="5" operator="equal">
      <formula>"Crítico"</formula>
    </cfRule>
    <cfRule type="cellIs" dxfId="2" priority="6" operator="equal">
      <formula>"Alto"</formula>
    </cfRule>
    <cfRule type="cellIs" dxfId="1" priority="7" operator="equal">
      <formula>"Medio"</formula>
    </cfRule>
    <cfRule type="cellIs" dxfId="0" priority="8" operator="equal">
      <formula>"Bajo"</formula>
    </cfRule>
  </conditionalFormatting>
  <dataValidations count="1">
    <dataValidation type="whole" sqref="E13:F66" xr:uid="{00000000-0002-0000-0100-000000000000}">
      <formula1>1</formula1>
      <formula2>5</formula2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1695D3-87D1-1B12-801A-D4DA83106447}">
            <x14:dataBar>
              <x14:cfvo type="min"/>
              <x14:cfvo type="max"/>
              <x14:negativeFillColor auto="1"/>
              <x14:axisColor auto="1"/>
            </x14:dataBar>
          </x14:cfRule>
          <xm:sqref>G13:G66</xm:sqref>
        </x14:conditionalFormatting>
        <x14:conditionalFormatting xmlns:xm="http://schemas.microsoft.com/office/excel/2006/main">
          <x14:cfRule type="dataBar" id="{AAA9D201-7BC1-F9F1-FA7F-9ED8F3048808}">
            <x14:dataBar>
              <x14:cfvo type="min"/>
              <x14:cfvo type="max"/>
              <x14:negativeFillColor auto="1"/>
              <x14:axisColor auto="1"/>
            </x14:dataBar>
          </x14:cfRule>
          <xm:sqref>S13:S66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100-000001000000}">
          <x14:formula1>
            <xm:f>Catálogos!$E$2:$E$5</xm:f>
          </x14:formula1>
          <xm:sqref>I13:I66</xm:sqref>
        </x14:dataValidation>
        <x14:dataValidation type="list" xr:uid="{00000000-0002-0000-0100-000002000000}">
          <x14:formula1>
            <xm:f>Catálogos!$A$2:$A$5</xm:f>
          </x14:formula1>
          <xm:sqref>J13:J66</xm:sqref>
        </x14:dataValidation>
        <x14:dataValidation type="list" xr:uid="{00000000-0002-0000-0100-000003000000}">
          <x14:formula1>
            <xm:f>Catálogos!$C$2:$C$8</xm:f>
          </x14:formula1>
          <xm:sqref>M13:M66</xm:sqref>
        </x14:dataValidation>
        <x14:dataValidation type="list" xr:uid="{00000000-0002-0000-0100-000004000000}">
          <x14:formula1>
            <xm:f>Catálogos!$B$2:$B$6</xm:f>
          </x14:formula1>
          <xm:sqref>P13:P66</xm:sqref>
        </x14:dataValidation>
        <x14:dataValidation type="list" xr:uid="{00000000-0002-0000-0100-000005000000}">
          <x14:formula1>
            <xm:f>Catálogos!$D$2:$D$6</xm:f>
          </x14:formula1>
          <xm:sqref>Q13:R66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D9D9"/>
  </sheetPr>
  <dimension ref="A1:E8"/>
  <sheetViews>
    <sheetView showGridLines="0" workbookViewId="0">
      <pane ySplit="1" topLeftCell="A2" activePane="bottomLeft" state="frozen"/>
      <selection pane="bottomLeft"/>
    </sheetView>
  </sheetViews>
  <sheetFormatPr baseColWidth="10" defaultColWidth="8.796875" defaultRowHeight="13.8"/>
  <cols>
    <col min="1" max="2" width="27" customWidth="1"/>
    <col min="3" max="3" width="34" customWidth="1"/>
    <col min="4" max="5" width="27" customWidth="1"/>
  </cols>
  <sheetData>
    <row r="1" spans="1:5">
      <c r="A1" s="1" t="s">
        <v>126</v>
      </c>
      <c r="B1" s="2" t="s">
        <v>25</v>
      </c>
      <c r="C1" s="2" t="s">
        <v>54</v>
      </c>
      <c r="D1" s="2" t="s">
        <v>479</v>
      </c>
      <c r="E1" s="3" t="s">
        <v>125</v>
      </c>
    </row>
    <row r="2" spans="1:5">
      <c r="A2" s="4" t="s">
        <v>142</v>
      </c>
      <c r="B2" s="5" t="s">
        <v>480</v>
      </c>
      <c r="C2" s="5" t="s">
        <v>62</v>
      </c>
      <c r="D2" s="5">
        <v>1</v>
      </c>
      <c r="E2" s="6" t="s">
        <v>481</v>
      </c>
    </row>
    <row r="3" spans="1:5">
      <c r="A3" s="4" t="s">
        <v>149</v>
      </c>
      <c r="B3" s="5" t="s">
        <v>26</v>
      </c>
      <c r="C3" s="5" t="s">
        <v>64</v>
      </c>
      <c r="D3" s="5">
        <v>2</v>
      </c>
      <c r="E3" s="6" t="s">
        <v>482</v>
      </c>
    </row>
    <row r="4" spans="1:5">
      <c r="A4" s="4" t="s">
        <v>483</v>
      </c>
      <c r="B4" s="5" t="s">
        <v>484</v>
      </c>
      <c r="C4" s="5" t="s">
        <v>61</v>
      </c>
      <c r="D4" s="5">
        <v>3</v>
      </c>
      <c r="E4" s="6" t="s">
        <v>485</v>
      </c>
    </row>
    <row r="5" spans="1:5">
      <c r="A5" s="4" t="s">
        <v>486</v>
      </c>
      <c r="B5" s="5" t="s">
        <v>487</v>
      </c>
      <c r="C5" s="5" t="s">
        <v>195</v>
      </c>
      <c r="D5" s="5">
        <v>4</v>
      </c>
      <c r="E5" s="6" t="s">
        <v>488</v>
      </c>
    </row>
    <row r="6" spans="1:5">
      <c r="A6" s="4"/>
      <c r="B6" s="5" t="s">
        <v>489</v>
      </c>
      <c r="C6" s="5" t="s">
        <v>176</v>
      </c>
      <c r="D6" s="5">
        <v>5</v>
      </c>
      <c r="E6" s="6"/>
    </row>
    <row r="7" spans="1:5">
      <c r="A7" s="4"/>
      <c r="B7" s="5"/>
      <c r="C7" s="5" t="s">
        <v>77</v>
      </c>
      <c r="D7" s="5"/>
      <c r="E7" s="6"/>
    </row>
    <row r="8" spans="1:5">
      <c r="A8" s="7"/>
      <c r="B8" s="8"/>
      <c r="C8" s="8" t="s">
        <v>90</v>
      </c>
      <c r="D8" s="8"/>
      <c r="E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Matriz de riesgos</vt:lpstr>
      <vt:lpstr>Catálogos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Mendoza</dc:creator>
  <cp:lastModifiedBy>Alex Mendoza</cp:lastModifiedBy>
  <dcterms:modified xsi:type="dcterms:W3CDTF">2026-10-01T21:49:17Z</dcterms:modified>
</cp:coreProperties>
</file>