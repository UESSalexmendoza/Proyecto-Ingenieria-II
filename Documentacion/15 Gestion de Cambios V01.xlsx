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 Alex\Ingenieria Software 2\Proyecto Ingenieria II\Documentacion\"/>
    </mc:Choice>
  </mc:AlternateContent>
  <xr:revisionPtr revIDLastSave="0" documentId="13_ncr:1_{E790B68C-4753-49FA-9663-2B57F63CA41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men" sheetId="1" r:id="rId1"/>
    <sheet name="Registro de cambios" sheetId="2" r:id="rId2"/>
    <sheet name="Solicitud de cambio" sheetId="3" r:id="rId3"/>
    <sheet name="Catálo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S114" i="2"/>
  <c r="T114" i="2" s="1"/>
  <c r="B114" i="2"/>
  <c r="S113" i="2"/>
  <c r="T113" i="2" s="1"/>
  <c r="B113" i="2"/>
  <c r="S112" i="2"/>
  <c r="T112" i="2" s="1"/>
  <c r="B112" i="2"/>
  <c r="S111" i="2"/>
  <c r="T111" i="2" s="1"/>
  <c r="B111" i="2"/>
  <c r="S110" i="2"/>
  <c r="T110" i="2" s="1"/>
  <c r="B110" i="2"/>
  <c r="S109" i="2"/>
  <c r="T109" i="2" s="1"/>
  <c r="B109" i="2"/>
  <c r="S108" i="2"/>
  <c r="T108" i="2" s="1"/>
  <c r="B108" i="2"/>
  <c r="S107" i="2"/>
  <c r="T107" i="2" s="1"/>
  <c r="B107" i="2"/>
  <c r="S106" i="2"/>
  <c r="T106" i="2" s="1"/>
  <c r="B106" i="2"/>
  <c r="S105" i="2"/>
  <c r="T105" i="2" s="1"/>
  <c r="B105" i="2"/>
  <c r="S104" i="2"/>
  <c r="T104" i="2" s="1"/>
  <c r="B104" i="2"/>
  <c r="S103" i="2"/>
  <c r="T103" i="2" s="1"/>
  <c r="B103" i="2"/>
  <c r="S102" i="2"/>
  <c r="T102" i="2" s="1"/>
  <c r="B102" i="2"/>
  <c r="S101" i="2"/>
  <c r="T101" i="2" s="1"/>
  <c r="B101" i="2"/>
  <c r="S100" i="2"/>
  <c r="T100" i="2" s="1"/>
  <c r="B100" i="2"/>
  <c r="S99" i="2"/>
  <c r="T99" i="2" s="1"/>
  <c r="B99" i="2"/>
  <c r="S98" i="2"/>
  <c r="T98" i="2" s="1"/>
  <c r="B98" i="2"/>
  <c r="S97" i="2"/>
  <c r="T97" i="2" s="1"/>
  <c r="B97" i="2"/>
  <c r="S96" i="2"/>
  <c r="T96" i="2" s="1"/>
  <c r="B96" i="2"/>
  <c r="S95" i="2"/>
  <c r="T95" i="2" s="1"/>
  <c r="B95" i="2"/>
  <c r="S94" i="2"/>
  <c r="T94" i="2" s="1"/>
  <c r="B94" i="2"/>
  <c r="S93" i="2"/>
  <c r="T93" i="2" s="1"/>
  <c r="B93" i="2"/>
  <c r="S92" i="2"/>
  <c r="T92" i="2" s="1"/>
  <c r="B92" i="2"/>
  <c r="S91" i="2"/>
  <c r="T91" i="2" s="1"/>
  <c r="B91" i="2"/>
  <c r="S90" i="2"/>
  <c r="T90" i="2" s="1"/>
  <c r="B90" i="2"/>
  <c r="S89" i="2"/>
  <c r="T89" i="2" s="1"/>
  <c r="B89" i="2"/>
  <c r="S88" i="2"/>
  <c r="T88" i="2" s="1"/>
  <c r="B88" i="2"/>
  <c r="S87" i="2"/>
  <c r="T87" i="2" s="1"/>
  <c r="B87" i="2"/>
  <c r="S86" i="2"/>
  <c r="T86" i="2" s="1"/>
  <c r="B86" i="2"/>
  <c r="S85" i="2"/>
  <c r="T85" i="2" s="1"/>
  <c r="B85" i="2"/>
  <c r="S84" i="2"/>
  <c r="T84" i="2" s="1"/>
  <c r="B84" i="2"/>
  <c r="S83" i="2"/>
  <c r="T83" i="2" s="1"/>
  <c r="B83" i="2"/>
  <c r="S82" i="2"/>
  <c r="T82" i="2" s="1"/>
  <c r="B82" i="2"/>
  <c r="S81" i="2"/>
  <c r="T81" i="2" s="1"/>
  <c r="B81" i="2"/>
  <c r="S80" i="2"/>
  <c r="T80" i="2" s="1"/>
  <c r="B80" i="2"/>
  <c r="S79" i="2"/>
  <c r="T79" i="2" s="1"/>
  <c r="B79" i="2"/>
  <c r="S78" i="2"/>
  <c r="T78" i="2" s="1"/>
  <c r="B78" i="2"/>
  <c r="S77" i="2"/>
  <c r="T77" i="2" s="1"/>
  <c r="B77" i="2"/>
  <c r="S76" i="2"/>
  <c r="T76" i="2" s="1"/>
  <c r="B76" i="2"/>
  <c r="S75" i="2"/>
  <c r="T75" i="2" s="1"/>
  <c r="B75" i="2"/>
  <c r="S74" i="2"/>
  <c r="T74" i="2" s="1"/>
  <c r="B74" i="2"/>
  <c r="S73" i="2"/>
  <c r="T73" i="2" s="1"/>
  <c r="B73" i="2"/>
  <c r="S72" i="2"/>
  <c r="T72" i="2" s="1"/>
  <c r="B72" i="2"/>
  <c r="S71" i="2"/>
  <c r="T71" i="2" s="1"/>
  <c r="B71" i="2"/>
  <c r="S70" i="2"/>
  <c r="T70" i="2" s="1"/>
  <c r="B70" i="2"/>
  <c r="S69" i="2"/>
  <c r="T69" i="2" s="1"/>
  <c r="B69" i="2"/>
  <c r="S68" i="2"/>
  <c r="T68" i="2" s="1"/>
  <c r="B68" i="2"/>
  <c r="S67" i="2"/>
  <c r="T67" i="2" s="1"/>
  <c r="B67" i="2"/>
  <c r="S66" i="2"/>
  <c r="T66" i="2" s="1"/>
  <c r="B66" i="2"/>
  <c r="S65" i="2"/>
  <c r="T65" i="2" s="1"/>
  <c r="B65" i="2"/>
  <c r="S64" i="2"/>
  <c r="T64" i="2" s="1"/>
  <c r="B64" i="2"/>
  <c r="S63" i="2"/>
  <c r="T63" i="2" s="1"/>
  <c r="B63" i="2"/>
  <c r="S62" i="2"/>
  <c r="T62" i="2" s="1"/>
  <c r="B62" i="2"/>
  <c r="S61" i="2"/>
  <c r="T61" i="2" s="1"/>
  <c r="B61" i="2"/>
  <c r="S60" i="2"/>
  <c r="T60" i="2" s="1"/>
  <c r="B60" i="2"/>
  <c r="S59" i="2"/>
  <c r="T59" i="2" s="1"/>
  <c r="B59" i="2"/>
  <c r="S58" i="2"/>
  <c r="T58" i="2" s="1"/>
  <c r="B58" i="2"/>
  <c r="S57" i="2"/>
  <c r="T57" i="2" s="1"/>
  <c r="B57" i="2"/>
  <c r="S56" i="2"/>
  <c r="T56" i="2" s="1"/>
  <c r="B56" i="2"/>
  <c r="S55" i="2"/>
  <c r="T55" i="2" s="1"/>
  <c r="B55" i="2"/>
  <c r="S54" i="2"/>
  <c r="T54" i="2" s="1"/>
  <c r="B54" i="2"/>
  <c r="S53" i="2"/>
  <c r="T53" i="2" s="1"/>
  <c r="B53" i="2"/>
  <c r="S52" i="2"/>
  <c r="T52" i="2" s="1"/>
  <c r="B52" i="2"/>
  <c r="S51" i="2"/>
  <c r="T51" i="2" s="1"/>
  <c r="B51" i="2"/>
  <c r="S50" i="2"/>
  <c r="T50" i="2" s="1"/>
  <c r="B50" i="2"/>
  <c r="S49" i="2"/>
  <c r="T49" i="2" s="1"/>
  <c r="B49" i="2"/>
  <c r="S48" i="2"/>
  <c r="T48" i="2" s="1"/>
  <c r="B48" i="2"/>
  <c r="S47" i="2"/>
  <c r="T47" i="2" s="1"/>
  <c r="B47" i="2"/>
  <c r="S46" i="2"/>
  <c r="T46" i="2" s="1"/>
  <c r="B46" i="2"/>
  <c r="S45" i="2"/>
  <c r="T45" i="2" s="1"/>
  <c r="B45" i="2"/>
  <c r="S44" i="2"/>
  <c r="T44" i="2" s="1"/>
  <c r="B44" i="2"/>
  <c r="S43" i="2"/>
  <c r="T43" i="2" s="1"/>
  <c r="B43" i="2"/>
  <c r="S42" i="2"/>
  <c r="T42" i="2" s="1"/>
  <c r="B42" i="2"/>
  <c r="S41" i="2"/>
  <c r="T41" i="2" s="1"/>
  <c r="B41" i="2"/>
  <c r="S40" i="2"/>
  <c r="T40" i="2" s="1"/>
  <c r="B40" i="2"/>
  <c r="S39" i="2"/>
  <c r="T39" i="2" s="1"/>
  <c r="B39" i="2"/>
  <c r="S38" i="2"/>
  <c r="T38" i="2" s="1"/>
  <c r="B38" i="2"/>
  <c r="S37" i="2"/>
  <c r="T37" i="2" s="1"/>
  <c r="B37" i="2"/>
  <c r="S36" i="2"/>
  <c r="T36" i="2" s="1"/>
  <c r="B36" i="2"/>
  <c r="S35" i="2"/>
  <c r="T35" i="2" s="1"/>
  <c r="B35" i="2"/>
  <c r="S34" i="2"/>
  <c r="T34" i="2" s="1"/>
  <c r="B34" i="2"/>
  <c r="S33" i="2"/>
  <c r="T33" i="2" s="1"/>
  <c r="B33" i="2"/>
  <c r="S32" i="2"/>
  <c r="T32" i="2" s="1"/>
  <c r="B32" i="2"/>
  <c r="S31" i="2"/>
  <c r="T31" i="2" s="1"/>
  <c r="B31" i="2"/>
  <c r="S30" i="2"/>
  <c r="T30" i="2" s="1"/>
  <c r="B30" i="2"/>
  <c r="S29" i="2"/>
  <c r="T29" i="2" s="1"/>
  <c r="B29" i="2"/>
  <c r="S28" i="2"/>
  <c r="T28" i="2" s="1"/>
  <c r="B28" i="2"/>
  <c r="S27" i="2"/>
  <c r="T27" i="2" s="1"/>
  <c r="B27" i="2"/>
  <c r="S26" i="2"/>
  <c r="T26" i="2" s="1"/>
  <c r="B26" i="2"/>
  <c r="S25" i="2"/>
  <c r="T25" i="2" s="1"/>
  <c r="B25" i="2"/>
  <c r="S24" i="2"/>
  <c r="T24" i="2" s="1"/>
  <c r="B24" i="2"/>
  <c r="S23" i="2"/>
  <c r="T23" i="2" s="1"/>
  <c r="B23" i="2"/>
  <c r="S22" i="2"/>
  <c r="T22" i="2" s="1"/>
  <c r="B22" i="2"/>
  <c r="S21" i="2"/>
  <c r="T21" i="2" s="1"/>
  <c r="B21" i="2"/>
  <c r="S20" i="2"/>
  <c r="T20" i="2" s="1"/>
  <c r="B20" i="2"/>
  <c r="S19" i="2"/>
  <c r="T19" i="2" s="1"/>
  <c r="B19" i="2"/>
  <c r="S18" i="2"/>
  <c r="T18" i="2" s="1"/>
  <c r="B18" i="2"/>
  <c r="S17" i="2"/>
  <c r="T17" i="2" s="1"/>
  <c r="B17" i="2"/>
  <c r="S16" i="2"/>
  <c r="T16" i="2" s="1"/>
  <c r="B16" i="2"/>
  <c r="S15" i="2"/>
  <c r="T15" i="2" s="1"/>
  <c r="Z10" i="2"/>
  <c r="V10" i="2"/>
  <c r="R10" i="2"/>
  <c r="N10" i="2"/>
  <c r="J10" i="2"/>
  <c r="F10" i="2"/>
  <c r="B10" i="2"/>
  <c r="D13" i="1"/>
  <c r="D12" i="1"/>
  <c r="D11" i="1"/>
  <c r="D10" i="1"/>
  <c r="D9" i="1"/>
  <c r="D8" i="1"/>
  <c r="D7" i="1"/>
  <c r="D6" i="1"/>
  <c r="D5" i="1"/>
  <c r="AD10" i="2" l="1"/>
</calcChain>
</file>

<file path=xl/sharedStrings.xml><?xml version="1.0" encoding="utf-8"?>
<sst xmlns="http://schemas.openxmlformats.org/spreadsheetml/2006/main" count="401" uniqueCount="241">
  <si>
    <t>BARRIO SOLIDARIO</t>
  </si>
  <si>
    <t>Resumen de gestión de cambios</t>
  </si>
  <si>
    <t>Indicador</t>
  </si>
  <si>
    <t>Resultado</t>
  </si>
  <si>
    <t>Etapa</t>
  </si>
  <si>
    <t>Responsable principal</t>
  </si>
  <si>
    <t>Resultado esperado</t>
  </si>
  <si>
    <t>Identificación del documento</t>
  </si>
  <si>
    <t>Total de solicitudes</t>
  </si>
  <si>
    <t>1. Registro</t>
  </si>
  <si>
    <t>Solicitante</t>
  </si>
  <si>
    <t>Solicitud completa y trazable</t>
  </si>
  <si>
    <t>Código</t>
  </si>
  <si>
    <t>En análisis</t>
  </si>
  <si>
    <t>2. Análisis</t>
  </si>
  <si>
    <t>Analista funcional/técnico</t>
  </si>
  <si>
    <t>Impactos, riesgo y esfuerzo estimados</t>
  </si>
  <si>
    <t>Documento</t>
  </si>
  <si>
    <t>Formato de Gestión de Cambios</t>
  </si>
  <si>
    <t>Pendientes de aprobación</t>
  </si>
  <si>
    <t>3. Decisión</t>
  </si>
  <si>
    <t>Product Owner / aprobador</t>
  </si>
  <si>
    <t>Decisión y condiciones documentadas</t>
  </si>
  <si>
    <t>Proyecto</t>
  </si>
  <si>
    <t>Barrio Solidario</t>
  </si>
  <si>
    <t>Aprobadas</t>
  </si>
  <si>
    <t>4. Planificación</t>
  </si>
  <si>
    <t>Scrum Master / equipo</t>
  </si>
  <si>
    <t>Fecha, responsable y versión objetivo</t>
  </si>
  <si>
    <t>Aplicación</t>
  </si>
  <si>
    <t>Software y documentación</t>
  </si>
  <si>
    <t>En implementación</t>
  </si>
  <si>
    <t>5. Implementación</t>
  </si>
  <si>
    <t>Responsable asignado</t>
  </si>
  <si>
    <t>Cambio aplicado y evidencia registrada</t>
  </si>
  <si>
    <t>Versión vigente</t>
  </si>
  <si>
    <t>1.1.0</t>
  </si>
  <si>
    <t>En validación</t>
  </si>
  <si>
    <t>6. Validación</t>
  </si>
  <si>
    <t>Calidad / Product Owner</t>
  </si>
  <si>
    <t>Criterios y pruebas conformes</t>
  </si>
  <si>
    <t>Estado</t>
  </si>
  <si>
    <t>En elaboración</t>
  </si>
  <si>
    <t>Cerradas</t>
  </si>
  <si>
    <t>7. Cierre</t>
  </si>
  <si>
    <t>Aprobador</t>
  </si>
  <si>
    <t>Versión actualizada y lecciones registradas</t>
  </si>
  <si>
    <t>Fecha de creación</t>
  </si>
  <si>
    <t>14/09/2026</t>
  </si>
  <si>
    <t>Rechazadas</t>
  </si>
  <si>
    <t>Propietario</t>
  </si>
  <si>
    <t>Vencidas abiertas</t>
  </si>
  <si>
    <t>Consolidación</t>
  </si>
  <si>
    <t>Revisión técnica</t>
  </si>
  <si>
    <t>Revisión de calidad</t>
  </si>
  <si>
    <t>Control de versiones</t>
  </si>
  <si>
    <t>Versión</t>
  </si>
  <si>
    <t>Fecha</t>
  </si>
  <si>
    <t>Descripción</t>
  </si>
  <si>
    <t>Responsable</t>
  </si>
  <si>
    <t>Revisor</t>
  </si>
  <si>
    <t>0.1.0</t>
  </si>
  <si>
    <t>Definición del flujo y campos</t>
  </si>
  <si>
    <t>Víctor Tello Bravo</t>
  </si>
  <si>
    <t>Alex Mendoza Morante</t>
  </si>
  <si>
    <t>Completado</t>
  </si>
  <si>
    <t>Revisado</t>
  </si>
  <si>
    <t>0.2.0</t>
  </si>
  <si>
    <t>Controles de impacto, riesgo y validación</t>
  </si>
  <si>
    <t>0.9.0</t>
  </si>
  <si>
    <t>Revisión integral del formato</t>
  </si>
  <si>
    <t>Equipo del proyecto</t>
  </si>
  <si>
    <t>Kevin Carriel Bonoso</t>
  </si>
  <si>
    <t>1.0.0</t>
  </si>
  <si>
    <t>Versión consolidada para Sprint 3</t>
  </si>
  <si>
    <t>Ing. Victoria García Velásquez</t>
  </si>
  <si>
    <t>Luis Rodríguez Barrera</t>
  </si>
  <si>
    <t>Pendiente</t>
  </si>
  <si>
    <t>15/09/2026</t>
  </si>
  <si>
    <t>Incorporación de datos del solicitante, activos, recursos, pruebas QA, constancias y verificación posterior</t>
  </si>
  <si>
    <t>En revisión</t>
  </si>
  <si>
    <t>Registro y seguimiento de solicitudes de cambio</t>
  </si>
  <si>
    <t>Versión: 1.0.0</t>
  </si>
  <si>
    <t>Estado: En elaboración</t>
  </si>
  <si>
    <t>Actualización: 14/09/2026</t>
  </si>
  <si>
    <t>Aprobación académica: Ing. Victoria García Velásquez</t>
  </si>
  <si>
    <t>CONTROL GENERAL DE CAMBIOS</t>
  </si>
  <si>
    <t>Total</t>
  </si>
  <si>
    <t>Aprobados</t>
  </si>
  <si>
    <t>Cerrados</t>
  </si>
  <si>
    <t>Rechazados</t>
  </si>
  <si>
    <t>Vencidos abiertos</t>
  </si>
  <si>
    <t>Estado del control</t>
  </si>
  <si>
    <t>Flujo recomendado: registrar → analizar impacto y riesgo → decidir → planificar → implementar → validar → cerrar. Los cambios rechazados o cancelados conservan su trazabilidad.</t>
  </si>
  <si>
    <t>Fecha de solicitud</t>
  </si>
  <si>
    <t>Tipo de cambio</t>
  </si>
  <si>
    <t>Origen</t>
  </si>
  <si>
    <t>Título del cambio</t>
  </si>
  <si>
    <t>Descripción y justificación</t>
  </si>
  <si>
    <t>Elemento afectado</t>
  </si>
  <si>
    <t>Versión actual</t>
  </si>
  <si>
    <t>Prioridad</t>
  </si>
  <si>
    <t>Urgencia</t>
  </si>
  <si>
    <t>Impacto alcance</t>
  </si>
  <si>
    <t>Impacto cronograma</t>
  </si>
  <si>
    <t>Impacto costo</t>
  </si>
  <si>
    <t>Impacto calidad</t>
  </si>
  <si>
    <t>Impacto seguridad</t>
  </si>
  <si>
    <t>Probabilidad</t>
  </si>
  <si>
    <t>Impacto del riesgo</t>
  </si>
  <si>
    <t>Exposición</t>
  </si>
  <si>
    <t>Nivel de riesgo</t>
  </si>
  <si>
    <t>Esfuerzo estimado (h)</t>
  </si>
  <si>
    <t>Analista de impacto</t>
  </si>
  <si>
    <t>Decisión</t>
  </si>
  <si>
    <t>Fecha objetivo</t>
  </si>
  <si>
    <t>Fecha implementación</t>
  </si>
  <si>
    <t>Resultado de validación</t>
  </si>
  <si>
    <t>Validador</t>
  </si>
  <si>
    <t>Evidencia / enlace</t>
  </si>
  <si>
    <t>Versión resultante</t>
  </si>
  <si>
    <t>Observaciones</t>
  </si>
  <si>
    <t>Correo / contacto</t>
  </si>
  <si>
    <t>Área solicitante</t>
  </si>
  <si>
    <t>Jefatura / responsable</t>
  </si>
  <si>
    <t>Activos afectados</t>
  </si>
  <si>
    <t>Recursos necesarios</t>
  </si>
  <si>
    <t>Pruebas en QA</t>
  </si>
  <si>
    <t>Detalle de pruebas QA</t>
  </si>
  <si>
    <t>Proceso de pruebas planificado</t>
  </si>
  <si>
    <t>Constancia de aprobación</t>
  </si>
  <si>
    <t>Constancia de implementación</t>
  </si>
  <si>
    <t>Fecha real de finalización</t>
  </si>
  <si>
    <t>Verificación posterior</t>
  </si>
  <si>
    <t>Resultado posterior</t>
  </si>
  <si>
    <t>Solicitud, evaluación y aprobación de cambio</t>
  </si>
  <si>
    <t>1. IDENTIFICACIÓN DE LA SOLICITUD</t>
  </si>
  <si>
    <t>Código del cambio</t>
  </si>
  <si>
    <t>Título</t>
  </si>
  <si>
    <t>Justificación / beneficio</t>
  </si>
  <si>
    <t>2. ALCANCE Y TRAZABILIDAD</t>
  </si>
  <si>
    <t>Requisito / HU / tarea Jira</t>
  </si>
  <si>
    <t>Archivos, módulos o documentos afectados</t>
  </si>
  <si>
    <t>Criterios de aceptación del cambio</t>
  </si>
  <si>
    <t>3. ANÁLISIS DE IMPACTO Y RIESGO</t>
  </si>
  <si>
    <t>Analista</t>
  </si>
  <si>
    <t>Impacto en alcance</t>
  </si>
  <si>
    <t>Cronograma</t>
  </si>
  <si>
    <t>Costo</t>
  </si>
  <si>
    <t>Calidad</t>
  </si>
  <si>
    <t>Seguridad / privacidad</t>
  </si>
  <si>
    <t>Compatibilidad</t>
  </si>
  <si>
    <t>Probabilidad (1–5)</t>
  </si>
  <si>
    <t>Impacto (1–5)</t>
  </si>
  <si>
    <t>Riesgos y dependencias</t>
  </si>
  <si>
    <t>Plan de reversión / contingencia</t>
  </si>
  <si>
    <t>4. DECISIÓN Y PLANIFICACIÓN</t>
  </si>
  <si>
    <t>Fecha de decisión</t>
  </si>
  <si>
    <t>Versión objetivo</t>
  </si>
  <si>
    <t>Condiciones / motivo de rechazo</t>
  </si>
  <si>
    <t>Plan de implementación y responsable</t>
  </si>
  <si>
    <t>5. IMPLEMENTACIÓN, VALIDACIÓN Y CIERRE</t>
  </si>
  <si>
    <t>Implementador</t>
  </si>
  <si>
    <t>Fecha de implementación</t>
  </si>
  <si>
    <t>Resultado implementado</t>
  </si>
  <si>
    <t>Evidencias y pruebas</t>
  </si>
  <si>
    <t>Fecha de cierre</t>
  </si>
  <si>
    <t>Estado final</t>
  </si>
  <si>
    <t>Observaciones de cierre y lecciones aprendidas</t>
  </si>
  <si>
    <t>6. DATOS DEL SOLICITANTE Y ACTIVOS</t>
  </si>
  <si>
    <t>Constancia de jefatura</t>
  </si>
  <si>
    <t>7. PRUEBAS Y VERIFICACIÓN</t>
  </si>
  <si>
    <t>¿Se realizaron pruebas en QA?</t>
  </si>
  <si>
    <t>Resultado de QA</t>
  </si>
  <si>
    <t>Detalle de pruebas ejecutadas</t>
  </si>
  <si>
    <t>Observaciones de la verificación</t>
  </si>
  <si>
    <t>8. CONSTANCIAS, FECHAS REALES Y CIERRE</t>
  </si>
  <si>
    <t>Responsable del cierre</t>
  </si>
  <si>
    <t>Nota: cuando no existan pruebas en QA, debe registrarse la justificación y el mecanismo alternativo de validación. Las constancias pueden ser firmas, aprobaciones de Jira, correo o evidencia equivalente.</t>
  </si>
  <si>
    <t>Tipo</t>
  </si>
  <si>
    <t>Complejidad</t>
  </si>
  <si>
    <t>Validación</t>
  </si>
  <si>
    <t>Nivel de impacto</t>
  </si>
  <si>
    <t>Probabilidad / Impacto</t>
  </si>
  <si>
    <t>Responsables</t>
  </si>
  <si>
    <t>Roles del flujo</t>
  </si>
  <si>
    <t>Pruebas QA</t>
  </si>
  <si>
    <t>Software</t>
  </si>
  <si>
    <t>Requisito</t>
  </si>
  <si>
    <t>Highest</t>
  </si>
  <si>
    <t>Alta</t>
  </si>
  <si>
    <t>Aprobar</t>
  </si>
  <si>
    <t>Registrado</t>
  </si>
  <si>
    <t>Sin impacto</t>
  </si>
  <si>
    <t>Sí</t>
  </si>
  <si>
    <t>Conforme</t>
  </si>
  <si>
    <t>Documentación</t>
  </si>
  <si>
    <t>Defecto</t>
  </si>
  <si>
    <t>High</t>
  </si>
  <si>
    <t>Media</t>
  </si>
  <si>
    <t>Aprobar con condiciones</t>
  </si>
  <si>
    <t>Bajo</t>
  </si>
  <si>
    <t>No</t>
  </si>
  <si>
    <t>Con observaciones</t>
  </si>
  <si>
    <t>Configuración</t>
  </si>
  <si>
    <t>Mejora</t>
  </si>
  <si>
    <t>Low</t>
  </si>
  <si>
    <t>Baja</t>
  </si>
  <si>
    <t>Rechazar</t>
  </si>
  <si>
    <t>Pendiente de aprobación</t>
  </si>
  <si>
    <t>Medio</t>
  </si>
  <si>
    <t>No aplica</t>
  </si>
  <si>
    <t>No conforme</t>
  </si>
  <si>
    <t>Base de datos</t>
  </si>
  <si>
    <t>Riesgo</t>
  </si>
  <si>
    <t>Lowest</t>
  </si>
  <si>
    <t>Devolver para ajuste</t>
  </si>
  <si>
    <t>Aprobado</t>
  </si>
  <si>
    <t>Alto</t>
  </si>
  <si>
    <t>Mario Luzardo Fierro</t>
  </si>
  <si>
    <t>Interfaz / UX</t>
  </si>
  <si>
    <t>Revisión académica</t>
  </si>
  <si>
    <t>Rechazado</t>
  </si>
  <si>
    <t>Luis Ramírez Conejo</t>
  </si>
  <si>
    <t>Seguridad</t>
  </si>
  <si>
    <t>Cambio normativo</t>
  </si>
  <si>
    <t>Planificado</t>
  </si>
  <si>
    <t>Infraestructura</t>
  </si>
  <si>
    <t>Decisión técnica</t>
  </si>
  <si>
    <t>Cerrado</t>
  </si>
  <si>
    <t>Cancelado</t>
  </si>
  <si>
    <t>Víctor Tello Bravo / Product Owner</t>
  </si>
  <si>
    <t>Alex Mendoza Morante / Scrum Master</t>
  </si>
  <si>
    <t>Kevin Carriel Bonoso / Arquitecto de software</t>
  </si>
  <si>
    <t>Luis Rodríguez Barrera / Calidad y seguridad</t>
  </si>
  <si>
    <t>Víctor Tello</t>
  </si>
  <si>
    <t xml:space="preserve">Kevin Carriel / Luis Rodríguez </t>
  </si>
  <si>
    <t>Alex Mendoza</t>
  </si>
  <si>
    <t>Propietario: Víctor Tello  / Product Owner</t>
  </si>
  <si>
    <t>Consolidación: Alex Mendoza / Scrum Master</t>
  </si>
  <si>
    <t xml:space="preserve">Revisión técnica: Kevin Carriel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</si>
</sst>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sz val="10"/>
      <color rgb="FF212937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sz val="9"/>
      <color rgb="FF212937"/>
      <name val="Arial"/>
    </font>
    <font>
      <b/>
      <sz val="11"/>
      <color rgb="FFFFFFFF"/>
      <name val="Arial"/>
    </font>
    <font>
      <b/>
      <sz val="9"/>
      <color rgb="FF212937"/>
      <name val="Arial"/>
    </font>
    <font>
      <b/>
      <sz val="12"/>
      <color rgb="FF212937"/>
      <name val="Arial"/>
    </font>
    <font>
      <i/>
      <sz val="9"/>
      <color rgb="FF212937"/>
      <name val="Arial"/>
    </font>
    <font>
      <b/>
      <sz val="9"/>
      <color rgb="FFFFFFFF"/>
      <name val="Arial"/>
    </font>
    <font>
      <sz val="11"/>
      <name val="Verdana"/>
      <family val="2"/>
    </font>
    <font>
      <b/>
      <sz val="18"/>
      <color rgb="FFFFFFFF"/>
      <name val="Verdana"/>
      <family val="2"/>
    </font>
    <font>
      <b/>
      <sz val="16"/>
      <color rgb="FFFFFFFF"/>
      <name val="Verdana"/>
      <family val="2"/>
    </font>
    <font>
      <sz val="16"/>
      <name val="Verdana"/>
      <family val="2"/>
    </font>
    <font>
      <b/>
      <sz val="11"/>
      <color rgb="FFFFFFFF"/>
      <name val="Verdana"/>
      <family val="2"/>
    </font>
    <font>
      <b/>
      <sz val="11"/>
      <color rgb="FF212937"/>
      <name val="Verdana"/>
      <family val="2"/>
    </font>
    <font>
      <sz val="11"/>
      <color rgb="FF212937"/>
      <name val="Verdana"/>
      <family val="2"/>
    </font>
    <font>
      <sz val="9"/>
      <color rgb="FF212937"/>
      <name val="Arial"/>
      <family val="2"/>
    </font>
    <font>
      <b/>
      <sz val="14"/>
      <color rgb="FFFFFFFF"/>
      <name val="Verdana"/>
      <family val="2"/>
    </font>
    <font>
      <sz val="9"/>
      <color rgb="FF212937"/>
      <name val="Verdana"/>
      <family val="2"/>
    </font>
    <font>
      <b/>
      <sz val="10"/>
      <color rgb="FFFFFFFF"/>
      <name val="Verdana"/>
      <family val="2"/>
    </font>
    <font>
      <b/>
      <sz val="9"/>
      <color rgb="FF212937"/>
      <name val="Verdana"/>
      <family val="2"/>
    </font>
    <font>
      <sz val="10"/>
      <color rgb="FF212937"/>
      <name val="Verdana"/>
      <family val="2"/>
    </font>
    <font>
      <i/>
      <sz val="9"/>
      <color rgb="FF212937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2A3966"/>
      </patternFill>
    </fill>
    <fill>
      <patternFill patternType="solid">
        <fgColor rgb="FFE9EBF0"/>
      </patternFill>
    </fill>
    <fill>
      <patternFill patternType="solid">
        <fgColor rgb="FFF4F6FA"/>
      </patternFill>
    </fill>
    <fill>
      <patternFill patternType="solid">
        <fgColor rgb="FF2A3966"/>
      </patternFill>
    </fill>
    <fill>
      <patternFill patternType="solid">
        <fgColor rgb="FFE9EBF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E9EBF0"/>
      </bottom>
      <diagonal/>
    </border>
    <border>
      <left/>
      <right/>
      <top style="thin">
        <color rgb="FFE9EBF0"/>
      </top>
      <bottom style="thin">
        <color rgb="FFE9EBF0"/>
      </bottom>
      <diagonal/>
    </border>
    <border>
      <left/>
      <right/>
      <top style="thin">
        <color rgb="FFE9EBF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E9EBF0"/>
      </top>
      <bottom style="thin">
        <color rgb="FFD9D9D9"/>
      </bottom>
      <diagonal/>
    </border>
    <border>
      <left style="thin">
        <color rgb="FFD9DDE7"/>
      </left>
      <right/>
      <top style="thin">
        <color rgb="FFD9DDE7"/>
      </top>
      <bottom style="thin">
        <color rgb="FFD9DDE7"/>
      </bottom>
      <diagonal/>
    </border>
    <border>
      <left/>
      <right/>
      <top style="thin">
        <color rgb="FFD9DDE7"/>
      </top>
      <bottom style="thin">
        <color rgb="FFD9DDE7"/>
      </bottom>
      <diagonal/>
    </border>
    <border>
      <left/>
      <right style="thin">
        <color rgb="FFD9DDE7"/>
      </right>
      <top style="thin">
        <color rgb="FFD9DDE7"/>
      </top>
      <bottom style="thin">
        <color rgb="FFD9DDE7"/>
      </bottom>
      <diagonal/>
    </border>
    <border>
      <left/>
      <right/>
      <top/>
      <bottom style="thin">
        <color rgb="FFFFFFFF"/>
      </bottom>
      <diagonal/>
    </border>
    <border>
      <left style="thin">
        <color rgb="FFD9DDE7"/>
      </left>
      <right/>
      <top style="thin">
        <color rgb="FFD9DDE7"/>
      </top>
      <bottom/>
      <diagonal/>
    </border>
    <border>
      <left/>
      <right/>
      <top style="thin">
        <color rgb="FFD9DDE7"/>
      </top>
      <bottom/>
      <diagonal/>
    </border>
    <border>
      <left/>
      <right style="thin">
        <color rgb="FFD9DDE7"/>
      </right>
      <top style="thin">
        <color rgb="FFD9DDE7"/>
      </top>
      <bottom/>
      <diagonal/>
    </border>
    <border>
      <left style="thin">
        <color rgb="FFD9DDE7"/>
      </left>
      <right/>
      <top/>
      <bottom/>
      <diagonal/>
    </border>
    <border>
      <left/>
      <right style="thin">
        <color rgb="FFD9DDE7"/>
      </right>
      <top/>
      <bottom/>
      <diagonal/>
    </border>
    <border>
      <left style="thin">
        <color rgb="FFD9DDE7"/>
      </left>
      <right/>
      <top/>
      <bottom style="thin">
        <color rgb="FFD9DDE7"/>
      </bottom>
      <diagonal/>
    </border>
    <border>
      <left/>
      <right/>
      <top/>
      <bottom style="thin">
        <color rgb="FFD9DDE7"/>
      </bottom>
      <diagonal/>
    </border>
    <border>
      <left/>
      <right style="thin">
        <color rgb="FFD9DDE7"/>
      </right>
      <top/>
      <bottom style="thin">
        <color rgb="FFD9DD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14" fontId="5" fillId="0" borderId="19" xfId="0" applyNumberFormat="1" applyFont="1" applyBorder="1" applyAlignment="1">
      <alignment vertical="top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10" fillId="5" borderId="20" xfId="0" applyFont="1" applyFill="1" applyBorder="1" applyAlignment="1">
      <alignment horizontal="center" wrapText="1"/>
    </xf>
    <xf numFmtId="0" fontId="10" fillId="5" borderId="21" xfId="0" applyFont="1" applyFill="1" applyBorder="1" applyAlignment="1">
      <alignment horizontal="center" wrapText="1"/>
    </xf>
    <xf numFmtId="0" fontId="10" fillId="5" borderId="22" xfId="0" applyFont="1" applyFill="1" applyBorder="1" applyAlignment="1">
      <alignment horizontal="center" wrapText="1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0" xfId="0" applyFont="1"/>
    <xf numFmtId="0" fontId="11" fillId="2" borderId="0" xfId="0" applyFont="1" applyFill="1"/>
    <xf numFmtId="0" fontId="12" fillId="2" borderId="0" xfId="0" applyFont="1" applyFill="1"/>
    <xf numFmtId="0" fontId="11" fillId="0" borderId="0" xfId="0" applyFont="1"/>
    <xf numFmtId="0" fontId="13" fillId="2" borderId="0" xfId="0" applyFont="1" applyFill="1"/>
    <xf numFmtId="0" fontId="14" fillId="0" borderId="0" xfId="0" applyFont="1"/>
    <xf numFmtId="0" fontId="11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0" fontId="17" fillId="0" borderId="32" xfId="0" applyFont="1" applyBorder="1" applyAlignment="1">
      <alignment horizontal="center" vertical="center"/>
    </xf>
    <xf numFmtId="0" fontId="16" fillId="3" borderId="32" xfId="0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/>
    </xf>
    <xf numFmtId="0" fontId="17" fillId="0" borderId="32" xfId="0" applyFont="1" applyBorder="1" applyAlignment="1">
      <alignment vertical="top" wrapText="1"/>
    </xf>
    <xf numFmtId="0" fontId="17" fillId="0" borderId="32" xfId="0" applyFont="1" applyBorder="1" applyAlignment="1">
      <alignment horizontal="left" vertical="top" wrapText="1"/>
    </xf>
    <xf numFmtId="0" fontId="17" fillId="4" borderId="32" xfId="0" applyFont="1" applyFill="1" applyBorder="1" applyAlignment="1">
      <alignment vertical="center" wrapText="1"/>
    </xf>
    <xf numFmtId="0" fontId="17" fillId="4" borderId="32" xfId="0" applyFont="1" applyFill="1" applyBorder="1" applyAlignment="1">
      <alignment horizontal="left" vertical="center" wrapText="1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5" fillId="8" borderId="0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/>
    </xf>
    <xf numFmtId="0" fontId="16" fillId="0" borderId="0" xfId="0" applyFont="1" applyBorder="1"/>
    <xf numFmtId="0" fontId="15" fillId="2" borderId="32" xfId="0" applyFont="1" applyFill="1" applyBorder="1" applyAlignment="1">
      <alignment horizontal="center"/>
    </xf>
    <xf numFmtId="0" fontId="16" fillId="0" borderId="32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1" fillId="8" borderId="0" xfId="0" applyFont="1" applyFill="1" applyBorder="1"/>
    <xf numFmtId="0" fontId="16" fillId="8" borderId="0" xfId="0" applyFont="1" applyFill="1" applyBorder="1" applyAlignment="1">
      <alignment horizontal="center"/>
    </xf>
    <xf numFmtId="0" fontId="16" fillId="8" borderId="0" xfId="0" applyFont="1" applyFill="1" applyBorder="1" applyAlignment="1">
      <alignment horizontal="center"/>
    </xf>
    <xf numFmtId="0" fontId="17" fillId="8" borderId="0" xfId="0" applyFont="1" applyFill="1" applyBorder="1" applyAlignment="1">
      <alignment vertical="top" wrapText="1"/>
    </xf>
    <xf numFmtId="0" fontId="17" fillId="8" borderId="0" xfId="0" applyFont="1" applyFill="1" applyBorder="1" applyAlignment="1">
      <alignment vertical="top" wrapText="1"/>
    </xf>
    <xf numFmtId="0" fontId="5" fillId="8" borderId="5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0" fillId="8" borderId="0" xfId="0" applyFill="1"/>
    <xf numFmtId="0" fontId="5" fillId="8" borderId="8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5" fillId="8" borderId="0" xfId="0" applyFont="1" applyFill="1" applyBorder="1" applyAlignment="1">
      <alignment vertical="center"/>
    </xf>
    <xf numFmtId="0" fontId="18" fillId="8" borderId="0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20" fillId="3" borderId="32" xfId="0" applyFont="1" applyFill="1" applyBorder="1" applyAlignment="1">
      <alignment vertical="center"/>
    </xf>
    <xf numFmtId="0" fontId="20" fillId="3" borderId="32" xfId="0" applyFont="1" applyFill="1" applyBorder="1" applyAlignment="1">
      <alignment horizontal="left" vertical="center"/>
    </xf>
    <xf numFmtId="0" fontId="20" fillId="3" borderId="32" xfId="0" applyFont="1" applyFill="1" applyBorder="1" applyAlignment="1">
      <alignment vertical="center" wrapText="1"/>
    </xf>
    <xf numFmtId="0" fontId="20" fillId="3" borderId="32" xfId="0" applyFont="1" applyFill="1" applyBorder="1" applyAlignment="1">
      <alignment horizontal="left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left" vertical="center"/>
    </xf>
    <xf numFmtId="0" fontId="20" fillId="3" borderId="35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3" fillId="2" borderId="34" xfId="0" applyFont="1" applyFill="1" applyBorder="1" applyAlignment="1">
      <alignment horizontal="left" vertical="center"/>
    </xf>
    <xf numFmtId="0" fontId="13" fillId="2" borderId="35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4" xfId="0" applyFont="1" applyFill="1" applyBorder="1" applyAlignment="1">
      <alignment horizontal="left" vertical="center"/>
    </xf>
    <xf numFmtId="0" fontId="19" fillId="2" borderId="3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9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/>
    </xf>
    <xf numFmtId="0" fontId="21" fillId="5" borderId="27" xfId="0" applyFont="1" applyFill="1" applyBorder="1" applyAlignment="1">
      <alignment horizontal="left" vertical="center"/>
    </xf>
    <xf numFmtId="0" fontId="21" fillId="5" borderId="0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top"/>
    </xf>
    <xf numFmtId="0" fontId="23" fillId="0" borderId="36" xfId="0" applyFont="1" applyBorder="1" applyAlignment="1">
      <alignment horizontal="left" vertical="top" wrapText="1"/>
    </xf>
    <xf numFmtId="0" fontId="22" fillId="3" borderId="36" xfId="0" applyFont="1" applyFill="1" applyBorder="1" applyAlignment="1">
      <alignment horizontal="left" vertical="top" wrapText="1"/>
    </xf>
    <xf numFmtId="0" fontId="21" fillId="5" borderId="32" xfId="0" applyFont="1" applyFill="1" applyBorder="1" applyAlignment="1">
      <alignment horizontal="left" vertical="center"/>
    </xf>
    <xf numFmtId="0" fontId="22" fillId="3" borderId="32" xfId="0" applyFont="1" applyFill="1" applyBorder="1" applyAlignment="1">
      <alignment horizontal="left" vertical="top" wrapText="1"/>
    </xf>
    <xf numFmtId="0" fontId="23" fillId="0" borderId="32" xfId="0" applyFont="1" applyBorder="1" applyAlignment="1">
      <alignment horizontal="left" vertical="top" wrapText="1"/>
    </xf>
    <xf numFmtId="0" fontId="22" fillId="3" borderId="32" xfId="0" applyFont="1" applyFill="1" applyBorder="1" applyAlignment="1">
      <alignment horizontal="left" vertical="top"/>
    </xf>
    <xf numFmtId="0" fontId="22" fillId="3" borderId="32" xfId="0" applyFont="1" applyFill="1" applyBorder="1" applyAlignment="1">
      <alignment horizontal="left" vertical="top"/>
    </xf>
    <xf numFmtId="0" fontId="21" fillId="5" borderId="36" xfId="0" applyFont="1" applyFill="1" applyBorder="1" applyAlignment="1">
      <alignment horizontal="left" vertical="center"/>
    </xf>
    <xf numFmtId="0" fontId="21" fillId="5" borderId="36" xfId="0" applyFont="1" applyFill="1" applyBorder="1" applyAlignment="1">
      <alignment horizontal="left" vertical="top"/>
    </xf>
    <xf numFmtId="0" fontId="22" fillId="6" borderId="36" xfId="0" applyFont="1" applyFill="1" applyBorder="1" applyAlignment="1">
      <alignment vertical="top" wrapText="1"/>
    </xf>
    <xf numFmtId="0" fontId="20" fillId="7" borderId="36" xfId="0" applyFont="1" applyFill="1" applyBorder="1" applyAlignment="1">
      <alignment vertical="top" wrapText="1"/>
    </xf>
    <xf numFmtId="0" fontId="20" fillId="7" borderId="36" xfId="0" applyFont="1" applyFill="1" applyBorder="1" applyAlignment="1">
      <alignment horizontal="center" vertical="top" wrapText="1"/>
    </xf>
    <xf numFmtId="0" fontId="22" fillId="6" borderId="36" xfId="0" applyFont="1" applyFill="1" applyBorder="1" applyAlignment="1">
      <alignment horizontal="left" vertical="top" wrapText="1"/>
    </xf>
    <xf numFmtId="0" fontId="20" fillId="7" borderId="36" xfId="0" applyFont="1" applyFill="1" applyBorder="1" applyAlignment="1">
      <alignment horizontal="left" vertical="top" wrapText="1"/>
    </xf>
    <xf numFmtId="0" fontId="20" fillId="7" borderId="37" xfId="0" applyFont="1" applyFill="1" applyBorder="1" applyAlignment="1">
      <alignment horizontal="left" vertical="top" wrapText="1"/>
    </xf>
    <xf numFmtId="0" fontId="20" fillId="7" borderId="38" xfId="0" applyFont="1" applyFill="1" applyBorder="1" applyAlignment="1">
      <alignment horizontal="left" vertical="top" wrapText="1"/>
    </xf>
    <xf numFmtId="0" fontId="20" fillId="7" borderId="39" xfId="0" applyFont="1" applyFill="1" applyBorder="1" applyAlignment="1">
      <alignment horizontal="left" vertical="top" wrapText="1"/>
    </xf>
    <xf numFmtId="0" fontId="24" fillId="4" borderId="27" xfId="0" applyFont="1" applyFill="1" applyBorder="1" applyAlignment="1">
      <alignment horizontal="center" vertical="center" wrapText="1"/>
    </xf>
    <xf numFmtId="0" fontId="24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12937"/>
      </font>
      <fill>
        <patternFill>
          <bgColor rgb="FFDCE6F1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RegisterTable" displayName="ChangeRegisterTable" ref="B14:AG114" totalsRowShown="0">
  <autoFilter ref="B14:AG114" xr:uid="{00000000-0009-0000-0100-000001000000}"/>
  <tableColumns count="32">
    <tableColumn id="1" xr3:uid="{00000000-0010-0000-0000-000001000000}" name="Código"/>
    <tableColumn id="2" xr3:uid="{00000000-0010-0000-0000-000002000000}" name="Fecha de solicitud"/>
    <tableColumn id="3" xr3:uid="{00000000-0010-0000-0000-000003000000}" name="Tipo de cambio"/>
    <tableColumn id="4" xr3:uid="{00000000-0010-0000-0000-000004000000}" name="Origen"/>
    <tableColumn id="5" xr3:uid="{00000000-0010-0000-0000-000005000000}" name="Título del cambio"/>
    <tableColumn id="6" xr3:uid="{00000000-0010-0000-0000-000006000000}" name="Descripción y justificación"/>
    <tableColumn id="7" xr3:uid="{00000000-0010-0000-0000-000007000000}" name="Elemento afectado"/>
    <tableColumn id="8" xr3:uid="{00000000-0010-0000-0000-000008000000}" name="Versión actual"/>
    <tableColumn id="9" xr3:uid="{00000000-0010-0000-0000-000009000000}" name="Prioridad"/>
    <tableColumn id="10" xr3:uid="{00000000-0010-0000-0000-00000A000000}" name="Urgencia"/>
    <tableColumn id="11" xr3:uid="{00000000-0010-0000-0000-00000B000000}" name="Impacto alcance"/>
    <tableColumn id="12" xr3:uid="{00000000-0010-0000-0000-00000C000000}" name="Impacto cronograma"/>
    <tableColumn id="13" xr3:uid="{00000000-0010-0000-0000-00000D000000}" name="Impacto costo"/>
    <tableColumn id="14" xr3:uid="{00000000-0010-0000-0000-00000E000000}" name="Impacto calidad"/>
    <tableColumn id="15" xr3:uid="{00000000-0010-0000-0000-00000F000000}" name="Impacto seguridad"/>
    <tableColumn id="16" xr3:uid="{00000000-0010-0000-0000-000010000000}" name="Probabilidad"/>
    <tableColumn id="17" xr3:uid="{00000000-0010-0000-0000-000011000000}" name="Impacto del riesgo"/>
    <tableColumn id="18" xr3:uid="{00000000-0010-0000-0000-000012000000}" name="Exposición"/>
    <tableColumn id="19" xr3:uid="{00000000-0010-0000-0000-000013000000}" name="Nivel de riesgo"/>
    <tableColumn id="20" xr3:uid="{00000000-0010-0000-0000-000014000000}" name="Esfuerzo estimado (h)"/>
    <tableColumn id="21" xr3:uid="{00000000-0010-0000-0000-000015000000}" name="Solicitante"/>
    <tableColumn id="22" xr3:uid="{00000000-0010-0000-0000-000016000000}" name="Analista de impacto"/>
    <tableColumn id="23" xr3:uid="{00000000-0010-0000-0000-000017000000}" name="Aprobador"/>
    <tableColumn id="24" xr3:uid="{00000000-0010-0000-0000-000018000000}" name="Decisión"/>
    <tableColumn id="25" xr3:uid="{00000000-0010-0000-0000-000019000000}" name="Estado"/>
    <tableColumn id="26" xr3:uid="{00000000-0010-0000-0000-00001A000000}" name="Fecha objetivo"/>
    <tableColumn id="27" xr3:uid="{00000000-0010-0000-0000-00001B000000}" name="Fecha implementación"/>
    <tableColumn id="28" xr3:uid="{00000000-0010-0000-0000-00001C000000}" name="Resultado de validación"/>
    <tableColumn id="29" xr3:uid="{00000000-0010-0000-0000-00001D000000}" name="Validador"/>
    <tableColumn id="30" xr3:uid="{00000000-0010-0000-0000-00001E000000}" name="Evidencia / enlace"/>
    <tableColumn id="31" xr3:uid="{00000000-0010-0000-0000-00001F000000}" name="Versión resultante"/>
    <tableColumn id="32" xr3:uid="{00000000-0010-0000-0000-000020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A1:O29"/>
  <sheetViews>
    <sheetView showGridLines="0" topLeftCell="A12" workbookViewId="0">
      <selection activeCell="B27" sqref="B27:D29"/>
    </sheetView>
  </sheetViews>
  <sheetFormatPr baseColWidth="10" defaultColWidth="8.796875" defaultRowHeight="13.8"/>
  <cols>
    <col min="1" max="1" width="2.3984375" style="48" customWidth="1"/>
    <col min="2" max="5" width="20" style="48" customWidth="1"/>
    <col min="6" max="6" width="21" style="48" customWidth="1"/>
    <col min="7" max="7" width="24" style="48" customWidth="1"/>
    <col min="8" max="8" width="31" style="48" customWidth="1"/>
    <col min="9" max="9" width="14.8984375" style="48" customWidth="1"/>
    <col min="10" max="10" width="3" style="48" customWidth="1"/>
    <col min="11" max="11" width="25" style="48" customWidth="1"/>
    <col min="12" max="12" width="38" style="48" customWidth="1"/>
    <col min="13" max="14" width="17" style="48" customWidth="1"/>
    <col min="15" max="15" width="18" style="48" customWidth="1"/>
    <col min="16" max="16384" width="8.796875" style="48"/>
  </cols>
  <sheetData>
    <row r="1" spans="1:15" ht="25.05" customHeight="1">
      <c r="A1" s="46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25.05" customHeight="1">
      <c r="A2" s="46"/>
      <c r="B2" s="49" t="s">
        <v>1</v>
      </c>
      <c r="C2" s="49"/>
      <c r="D2" s="49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</row>
    <row r="4" spans="1:15" ht="25.05" customHeight="1">
      <c r="B4" s="53" t="s">
        <v>2</v>
      </c>
      <c r="C4" s="53"/>
      <c r="D4" s="54" t="s">
        <v>3</v>
      </c>
      <c r="E4" s="66"/>
      <c r="F4" s="67" t="s">
        <v>4</v>
      </c>
      <c r="G4" s="67" t="s">
        <v>5</v>
      </c>
      <c r="H4" s="67" t="s">
        <v>6</v>
      </c>
      <c r="K4" s="69" t="s">
        <v>7</v>
      </c>
      <c r="L4" s="69"/>
      <c r="M4" s="69"/>
      <c r="N4" s="69"/>
      <c r="O4" s="69"/>
    </row>
    <row r="5" spans="1:15" ht="25.05" customHeight="1">
      <c r="B5" s="55" t="s">
        <v>8</v>
      </c>
      <c r="C5" s="55"/>
      <c r="D5" s="56">
        <f>COUNTIF('Registro de cambios'!C15:C114,"&lt;&gt;")</f>
        <v>0</v>
      </c>
      <c r="E5" s="52"/>
      <c r="F5" s="72" t="s">
        <v>9</v>
      </c>
      <c r="G5" s="72" t="s">
        <v>10</v>
      </c>
      <c r="H5" s="72" t="s">
        <v>11</v>
      </c>
      <c r="K5" s="70" t="s">
        <v>17</v>
      </c>
      <c r="L5" s="71" t="s">
        <v>18</v>
      </c>
      <c r="M5" s="71"/>
      <c r="N5" s="71"/>
      <c r="O5" s="71"/>
    </row>
    <row r="6" spans="1:15" ht="25.05" customHeight="1">
      <c r="B6" s="55" t="s">
        <v>13</v>
      </c>
      <c r="C6" s="55"/>
      <c r="D6" s="56">
        <f>COUNTIF('Registro de cambios'!Z15:Z114,"En análisis")</f>
        <v>0</v>
      </c>
      <c r="E6" s="52"/>
      <c r="F6" s="72" t="s">
        <v>14</v>
      </c>
      <c r="G6" s="72" t="s">
        <v>15</v>
      </c>
      <c r="H6" s="72" t="s">
        <v>16</v>
      </c>
      <c r="K6" s="70" t="s">
        <v>23</v>
      </c>
      <c r="L6" s="71" t="s">
        <v>24</v>
      </c>
      <c r="M6" s="71"/>
      <c r="N6" s="71"/>
      <c r="O6" s="71"/>
    </row>
    <row r="7" spans="1:15" ht="25.05" customHeight="1">
      <c r="B7" s="55" t="s">
        <v>19</v>
      </c>
      <c r="C7" s="55"/>
      <c r="D7" s="56">
        <f>COUNTIF('Registro de cambios'!Z15:Z114,"Pendiente de aprobación")</f>
        <v>0</v>
      </c>
      <c r="E7" s="52"/>
      <c r="F7" s="72" t="s">
        <v>20</v>
      </c>
      <c r="G7" s="72" t="s">
        <v>21</v>
      </c>
      <c r="H7" s="72" t="s">
        <v>22</v>
      </c>
      <c r="K7" s="70" t="s">
        <v>29</v>
      </c>
      <c r="L7" s="71" t="s">
        <v>30</v>
      </c>
      <c r="M7" s="71"/>
      <c r="N7" s="71"/>
      <c r="O7" s="71"/>
    </row>
    <row r="8" spans="1:15" ht="25.05" customHeight="1">
      <c r="B8" s="55" t="s">
        <v>25</v>
      </c>
      <c r="C8" s="55"/>
      <c r="D8" s="56">
        <f>COUNTIF('Registro de cambios'!Z15:Z114,"Aprobado")</f>
        <v>0</v>
      </c>
      <c r="E8" s="52"/>
      <c r="F8" s="72" t="s">
        <v>26</v>
      </c>
      <c r="G8" s="72" t="s">
        <v>27</v>
      </c>
      <c r="H8" s="72" t="s">
        <v>28</v>
      </c>
      <c r="K8" s="70" t="s">
        <v>35</v>
      </c>
      <c r="L8" s="71" t="s">
        <v>36</v>
      </c>
      <c r="M8" s="71"/>
      <c r="N8" s="71"/>
      <c r="O8" s="71"/>
    </row>
    <row r="9" spans="1:15" ht="25.05" customHeight="1">
      <c r="B9" s="55" t="s">
        <v>31</v>
      </c>
      <c r="C9" s="55"/>
      <c r="D9" s="56">
        <f>COUNTIF('Registro de cambios'!Z15:Z114,"En implementación")</f>
        <v>0</v>
      </c>
      <c r="E9" s="52"/>
      <c r="F9" s="72" t="s">
        <v>32</v>
      </c>
      <c r="G9" s="72" t="s">
        <v>33</v>
      </c>
      <c r="H9" s="72" t="s">
        <v>34</v>
      </c>
      <c r="K9" s="70" t="s">
        <v>41</v>
      </c>
      <c r="L9" s="71" t="s">
        <v>42</v>
      </c>
      <c r="M9" s="71"/>
      <c r="N9" s="71"/>
      <c r="O9" s="71"/>
    </row>
    <row r="10" spans="1:15" ht="25.05" customHeight="1">
      <c r="B10" s="55" t="s">
        <v>37</v>
      </c>
      <c r="C10" s="55"/>
      <c r="D10" s="56">
        <f>COUNTIF('Registro de cambios'!Z15:Z114,"En validación")</f>
        <v>0</v>
      </c>
      <c r="E10" s="52"/>
      <c r="F10" s="72" t="s">
        <v>38</v>
      </c>
      <c r="G10" s="72" t="s">
        <v>39</v>
      </c>
      <c r="H10" s="72" t="s">
        <v>40</v>
      </c>
      <c r="K10" s="70" t="s">
        <v>47</v>
      </c>
      <c r="L10" s="71" t="s">
        <v>48</v>
      </c>
      <c r="M10" s="71"/>
      <c r="N10" s="71"/>
      <c r="O10" s="71"/>
    </row>
    <row r="11" spans="1:15" ht="25.05" customHeight="1">
      <c r="B11" s="55" t="s">
        <v>43</v>
      </c>
      <c r="C11" s="55"/>
      <c r="D11" s="56">
        <f>COUNTIF('Registro de cambios'!Z15:Z114,"Cerrado")</f>
        <v>0</v>
      </c>
      <c r="E11" s="52"/>
      <c r="F11" s="72" t="s">
        <v>44</v>
      </c>
      <c r="G11" s="72" t="s">
        <v>45</v>
      </c>
      <c r="H11" s="72" t="s">
        <v>46</v>
      </c>
      <c r="K11" s="70" t="s">
        <v>50</v>
      </c>
      <c r="L11" s="71" t="s">
        <v>231</v>
      </c>
      <c r="M11" s="71"/>
      <c r="N11" s="71"/>
      <c r="O11" s="71"/>
    </row>
    <row r="12" spans="1:15" ht="25.05" customHeight="1">
      <c r="B12" s="55" t="s">
        <v>49</v>
      </c>
      <c r="C12" s="55"/>
      <c r="D12" s="56">
        <f>COUNTIF('Registro de cambios'!Z15:Z114,"Rechazado")</f>
        <v>0</v>
      </c>
      <c r="E12" s="52"/>
      <c r="K12" s="70" t="s">
        <v>52</v>
      </c>
      <c r="L12" s="71" t="s">
        <v>232</v>
      </c>
      <c r="M12" s="71"/>
      <c r="N12" s="71"/>
      <c r="O12" s="71"/>
    </row>
    <row r="13" spans="1:15" ht="25.05" customHeight="1">
      <c r="B13" s="55" t="s">
        <v>51</v>
      </c>
      <c r="C13" s="55"/>
      <c r="D13" s="56">
        <f ca="1">COUNTIFS('Registro de cambios'!AA15:AA114,"&lt;"&amp;TODAY(),'Registro de cambios'!AA15:AA114,"&lt;&gt;",'Registro de cambios'!Z15:Z114,"&lt;&gt;Cerrado",'Registro de cambios'!Z15:Z114,"&lt;&gt;Cancelado",'Registro de cambios'!Z15:Z114,"&lt;&gt;Rechazado")</f>
        <v>0</v>
      </c>
      <c r="E13" s="52"/>
      <c r="K13" s="70" t="s">
        <v>53</v>
      </c>
      <c r="L13" s="71" t="s">
        <v>233</v>
      </c>
      <c r="M13" s="71"/>
      <c r="N13" s="71"/>
      <c r="O13" s="71"/>
    </row>
    <row r="14" spans="1:15" ht="25.05" customHeight="1">
      <c r="K14" s="70" t="s">
        <v>54</v>
      </c>
      <c r="L14" s="71" t="s">
        <v>234</v>
      </c>
      <c r="M14" s="71"/>
      <c r="N14" s="71"/>
      <c r="O14" s="71"/>
    </row>
    <row r="15" spans="1:15" ht="25.05" customHeight="1">
      <c r="K15" s="68"/>
      <c r="L15" s="51"/>
      <c r="M15" s="51"/>
      <c r="N15" s="51"/>
      <c r="O15" s="51"/>
    </row>
    <row r="16" spans="1:15" ht="25.05" customHeight="1"/>
    <row r="17" spans="2:15" ht="25.05" customHeight="1">
      <c r="B17" s="53" t="s">
        <v>55</v>
      </c>
      <c r="C17" s="53"/>
      <c r="D17" s="53"/>
      <c r="E17" s="53"/>
      <c r="F17" s="53"/>
      <c r="G17" s="53"/>
      <c r="H17" s="53"/>
      <c r="I17" s="53"/>
      <c r="K17" s="73"/>
      <c r="L17" s="73"/>
      <c r="M17" s="73"/>
      <c r="N17" s="73"/>
      <c r="O17" s="73"/>
    </row>
    <row r="18" spans="2:15" ht="25.05" customHeight="1">
      <c r="B18" s="57" t="s">
        <v>56</v>
      </c>
      <c r="C18" s="57" t="s">
        <v>57</v>
      </c>
      <c r="D18" s="58" t="s">
        <v>58</v>
      </c>
      <c r="E18" s="58"/>
      <c r="F18" s="58"/>
      <c r="G18" s="57" t="s">
        <v>59</v>
      </c>
      <c r="H18" s="57" t="s">
        <v>60</v>
      </c>
      <c r="I18" s="57" t="s">
        <v>41</v>
      </c>
      <c r="K18" s="74"/>
      <c r="L18" s="74"/>
      <c r="M18" s="75"/>
      <c r="N18" s="75"/>
      <c r="O18" s="74"/>
    </row>
    <row r="19" spans="2:15" ht="25.05" customHeight="1">
      <c r="B19" s="59" t="s">
        <v>61</v>
      </c>
      <c r="C19" s="59" t="s">
        <v>48</v>
      </c>
      <c r="D19" s="60" t="s">
        <v>62</v>
      </c>
      <c r="E19" s="60"/>
      <c r="F19" s="60"/>
      <c r="G19" s="59" t="s">
        <v>235</v>
      </c>
      <c r="H19" s="59" t="s">
        <v>237</v>
      </c>
      <c r="I19" s="59" t="s">
        <v>65</v>
      </c>
      <c r="K19" s="76"/>
      <c r="L19" s="76"/>
      <c r="M19" s="77"/>
      <c r="N19" s="77"/>
      <c r="O19" s="76"/>
    </row>
    <row r="20" spans="2:15" ht="25.05" customHeight="1">
      <c r="B20" s="59" t="s">
        <v>67</v>
      </c>
      <c r="C20" s="59" t="s">
        <v>48</v>
      </c>
      <c r="D20" s="60" t="s">
        <v>68</v>
      </c>
      <c r="E20" s="60"/>
      <c r="F20" s="60"/>
      <c r="G20" s="59" t="s">
        <v>236</v>
      </c>
      <c r="H20" s="59" t="s">
        <v>235</v>
      </c>
      <c r="I20" s="59" t="s">
        <v>65</v>
      </c>
      <c r="K20" s="76"/>
      <c r="L20" s="76"/>
      <c r="M20" s="77"/>
      <c r="N20" s="77"/>
      <c r="O20" s="76"/>
    </row>
    <row r="21" spans="2:15" ht="25.05" customHeight="1">
      <c r="B21" s="59" t="s">
        <v>69</v>
      </c>
      <c r="C21" s="59" t="s">
        <v>48</v>
      </c>
      <c r="D21" s="60" t="s">
        <v>70</v>
      </c>
      <c r="E21" s="60"/>
      <c r="F21" s="60"/>
      <c r="G21" s="59" t="s">
        <v>237</v>
      </c>
      <c r="H21" s="59" t="s">
        <v>71</v>
      </c>
      <c r="I21" s="59" t="s">
        <v>66</v>
      </c>
      <c r="K21" s="76"/>
      <c r="L21" s="76"/>
      <c r="M21" s="77"/>
      <c r="N21" s="77"/>
      <c r="O21" s="76"/>
    </row>
    <row r="22" spans="2:15" ht="25.05" customHeight="1">
      <c r="B22" s="59" t="s">
        <v>73</v>
      </c>
      <c r="C22" s="59" t="s">
        <v>48</v>
      </c>
      <c r="D22" s="60" t="s">
        <v>74</v>
      </c>
      <c r="E22" s="60"/>
      <c r="F22" s="60"/>
      <c r="G22" s="59" t="s">
        <v>237</v>
      </c>
      <c r="H22" s="59" t="s">
        <v>75</v>
      </c>
      <c r="I22" s="59" t="s">
        <v>42</v>
      </c>
      <c r="K22" s="76"/>
      <c r="L22" s="76"/>
      <c r="M22" s="77"/>
      <c r="N22" s="77"/>
      <c r="O22" s="76"/>
    </row>
    <row r="23" spans="2:15" ht="25.05" customHeight="1">
      <c r="B23" s="63"/>
      <c r="C23" s="64"/>
      <c r="D23" s="64"/>
      <c r="E23" s="64"/>
      <c r="F23" s="64"/>
      <c r="G23" s="64"/>
      <c r="H23" s="64"/>
      <c r="I23" s="65"/>
      <c r="K23" s="76"/>
      <c r="L23" s="76"/>
      <c r="M23" s="77"/>
      <c r="N23" s="77"/>
      <c r="O23" s="76"/>
    </row>
    <row r="24" spans="2:15" ht="37.950000000000003" customHeight="1">
      <c r="B24" s="61" t="s">
        <v>36</v>
      </c>
      <c r="C24" s="61" t="s">
        <v>78</v>
      </c>
      <c r="D24" s="62" t="s">
        <v>79</v>
      </c>
      <c r="E24" s="62"/>
      <c r="F24" s="62"/>
      <c r="G24" s="61" t="s">
        <v>64</v>
      </c>
      <c r="H24" s="61" t="s">
        <v>71</v>
      </c>
      <c r="I24" s="61" t="s">
        <v>80</v>
      </c>
    </row>
    <row r="27" spans="2:15">
      <c r="B27" s="38"/>
      <c r="C27" s="38"/>
      <c r="D27" s="38"/>
    </row>
    <row r="28" spans="2:15">
      <c r="B28" s="39"/>
      <c r="C28" s="40"/>
      <c r="D28" s="41"/>
    </row>
    <row r="29" spans="2:15">
      <c r="B29" s="42"/>
      <c r="C29" s="43"/>
      <c r="D29" s="44"/>
    </row>
  </sheetData>
  <mergeCells count="41">
    <mergeCell ref="D24:F24"/>
    <mergeCell ref="B17:I17"/>
    <mergeCell ref="B23:I23"/>
    <mergeCell ref="B27:D27"/>
    <mergeCell ref="B28:D29"/>
    <mergeCell ref="D18:F18"/>
    <mergeCell ref="D19:F19"/>
    <mergeCell ref="D20:F20"/>
    <mergeCell ref="D21:F21"/>
    <mergeCell ref="D22:F22"/>
    <mergeCell ref="L15:O15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M19:N19"/>
    <mergeCell ref="M20:N20"/>
    <mergeCell ref="M21:N21"/>
    <mergeCell ref="M22:N22"/>
    <mergeCell ref="M23:N23"/>
    <mergeCell ref="B1:O1"/>
    <mergeCell ref="B2:O2"/>
    <mergeCell ref="K4:O4"/>
    <mergeCell ref="M18:N18"/>
    <mergeCell ref="K17:O17"/>
    <mergeCell ref="L5:O5"/>
    <mergeCell ref="L6:O6"/>
    <mergeCell ref="L7:O7"/>
    <mergeCell ref="L8:O8"/>
    <mergeCell ref="L9:O9"/>
    <mergeCell ref="L10:O10"/>
    <mergeCell ref="L11:O11"/>
    <mergeCell ref="L12:O12"/>
    <mergeCell ref="L13:O13"/>
    <mergeCell ref="L14:O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2:AT114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5" sqref="A15"/>
    </sheetView>
  </sheetViews>
  <sheetFormatPr baseColWidth="10" defaultColWidth="8.796875" defaultRowHeight="13.8"/>
  <cols>
    <col min="1" max="1" width="2.19921875" customWidth="1"/>
    <col min="2" max="2" width="21.796875" customWidth="1"/>
    <col min="3" max="3" width="18.69921875" customWidth="1"/>
    <col min="4" max="5" width="18" customWidth="1"/>
    <col min="6" max="6" width="28" customWidth="1"/>
    <col min="7" max="7" width="39" customWidth="1"/>
    <col min="8" max="8" width="29" customWidth="1"/>
    <col min="9" max="9" width="14" customWidth="1"/>
    <col min="10" max="11" width="12" customWidth="1"/>
    <col min="12" max="12" width="15" customWidth="1"/>
    <col min="13" max="13" width="16" customWidth="1"/>
    <col min="14" max="15" width="14" customWidth="1"/>
    <col min="16" max="16" width="15" customWidth="1"/>
    <col min="17" max="17" width="12" customWidth="1"/>
    <col min="18" max="18" width="13" customWidth="1"/>
    <col min="19" max="20" width="12" customWidth="1"/>
    <col min="21" max="21" width="17" customWidth="1"/>
    <col min="22" max="24" width="23" customWidth="1"/>
    <col min="25" max="26" width="21" customWidth="1"/>
    <col min="27" max="27" width="14" customWidth="1"/>
    <col min="28" max="28" width="16" customWidth="1"/>
    <col min="29" max="29" width="20" customWidth="1"/>
    <col min="30" max="30" width="23" customWidth="1"/>
    <col min="31" max="31" width="31" customWidth="1"/>
    <col min="32" max="32" width="16" customWidth="1"/>
    <col min="33" max="33" width="28" customWidth="1"/>
    <col min="34" max="38" width="22" customWidth="1"/>
    <col min="39" max="39" width="14" customWidth="1"/>
    <col min="40" max="43" width="22" customWidth="1"/>
    <col min="44" max="44" width="18" customWidth="1"/>
    <col min="45" max="46" width="22" customWidth="1"/>
  </cols>
  <sheetData>
    <row r="2" spans="1:46" s="80" customFormat="1" ht="25.05" customHeight="1">
      <c r="B2" s="98" t="s">
        <v>0</v>
      </c>
      <c r="C2" s="99"/>
      <c r="D2" s="99"/>
      <c r="E2" s="99"/>
      <c r="F2" s="99"/>
      <c r="G2" s="99"/>
      <c r="H2" s="100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</row>
    <row r="3" spans="1:46" s="80" customFormat="1" ht="25.05" customHeight="1">
      <c r="B3" s="101" t="s">
        <v>81</v>
      </c>
      <c r="C3" s="102"/>
      <c r="D3" s="102"/>
      <c r="E3" s="102"/>
      <c r="F3" s="102"/>
      <c r="G3" s="102"/>
      <c r="H3" s="103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46" s="80" customFormat="1" ht="22.05" customHeight="1">
      <c r="B4" s="90" t="s">
        <v>82</v>
      </c>
      <c r="C4" s="91" t="s">
        <v>238</v>
      </c>
      <c r="D4" s="91"/>
      <c r="E4" s="91" t="s">
        <v>239</v>
      </c>
      <c r="F4" s="91"/>
      <c r="G4" s="96" t="s">
        <v>83</v>
      </c>
      <c r="H4" s="97"/>
      <c r="I4" s="8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9"/>
    </row>
    <row r="5" spans="1:46" s="80" customFormat="1" ht="22.05" customHeight="1">
      <c r="B5" s="92" t="s">
        <v>84</v>
      </c>
      <c r="C5" s="93" t="s">
        <v>240</v>
      </c>
      <c r="D5" s="93"/>
      <c r="E5" s="94" t="s">
        <v>85</v>
      </c>
      <c r="F5" s="95"/>
      <c r="G5" s="94"/>
      <c r="H5" s="95"/>
      <c r="I5" s="89"/>
      <c r="J5" s="81"/>
      <c r="K5" s="81"/>
      <c r="L5" s="81"/>
      <c r="M5" s="81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3"/>
    </row>
    <row r="6" spans="1:46" s="80" customFormat="1" ht="5.4" customHeight="1">
      <c r="B6" s="87"/>
      <c r="C6" s="87"/>
      <c r="D6" s="87"/>
      <c r="E6" s="87"/>
      <c r="F6" s="87"/>
      <c r="G6" s="87"/>
      <c r="H6" s="87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spans="1:46" ht="24" customHeight="1">
      <c r="B7" s="104" t="s">
        <v>86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</row>
    <row r="8" spans="1:46" s="80" customFormat="1" ht="9" customHeight="1">
      <c r="A8"/>
      <c r="B8" s="106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</row>
    <row r="9" spans="1:46" ht="24" customHeight="1">
      <c r="B9" s="38" t="s">
        <v>87</v>
      </c>
      <c r="C9" s="38"/>
      <c r="D9" s="38"/>
      <c r="F9" s="38" t="s">
        <v>19</v>
      </c>
      <c r="G9" s="38"/>
      <c r="H9" s="38"/>
      <c r="J9" s="38" t="s">
        <v>88</v>
      </c>
      <c r="K9" s="38"/>
      <c r="L9" s="38"/>
      <c r="N9" s="38" t="s">
        <v>31</v>
      </c>
      <c r="O9" s="38"/>
      <c r="P9" s="38"/>
      <c r="R9" s="38" t="s">
        <v>89</v>
      </c>
      <c r="S9" s="38"/>
      <c r="T9" s="38"/>
      <c r="V9" s="38" t="s">
        <v>90</v>
      </c>
      <c r="W9" s="38"/>
      <c r="X9" s="38"/>
      <c r="Z9" s="38" t="s">
        <v>91</v>
      </c>
      <c r="AA9" s="38"/>
      <c r="AB9" s="38"/>
      <c r="AD9" s="38" t="s">
        <v>92</v>
      </c>
      <c r="AE9" s="38"/>
      <c r="AF9" s="38"/>
      <c r="AG9" s="38"/>
    </row>
    <row r="10" spans="1:46" ht="24" customHeight="1">
      <c r="B10" s="39">
        <f>COUNTIF(C15:C114,"&lt;&gt;")</f>
        <v>0</v>
      </c>
      <c r="C10" s="40"/>
      <c r="D10" s="41"/>
      <c r="F10" s="39">
        <f>COUNTIF(Z15:Z114,"Pendiente de aprobación")</f>
        <v>0</v>
      </c>
      <c r="G10" s="40"/>
      <c r="H10" s="41"/>
      <c r="J10" s="39">
        <f>COUNTIF(Z15:Z114,"Aprobado")</f>
        <v>0</v>
      </c>
      <c r="K10" s="40"/>
      <c r="L10" s="41"/>
      <c r="N10" s="39">
        <f>COUNTIF(Z15:Z114,"En implementación")</f>
        <v>0</v>
      </c>
      <c r="O10" s="40"/>
      <c r="P10" s="41"/>
      <c r="R10" s="39">
        <f>COUNTIF(Z15:Z114,"Cerrado")</f>
        <v>0</v>
      </c>
      <c r="S10" s="40"/>
      <c r="T10" s="41"/>
      <c r="V10" s="39">
        <f>COUNTIF(Z15:Z114,"Rechazado")</f>
        <v>0</v>
      </c>
      <c r="W10" s="40"/>
      <c r="X10" s="41"/>
      <c r="Z10" s="39">
        <f ca="1">COUNTIFS(AA15:AA114,"&lt;"&amp;TODAY(),AA15:AA114,"&lt;&gt;",Z15:Z114,"&lt;&gt;Cerrado",Z15:Z114,"&lt;&gt;Cancelado",Z15:Z114,"&lt;&gt;Rechazado")</f>
        <v>0</v>
      </c>
      <c r="AA10" s="40"/>
      <c r="AB10" s="41"/>
      <c r="AD10" s="39" t="str">
        <f ca="1">IF(Z10&gt;0,"REQUIERE ATENCIÓN",IF(F10&gt;0,"PENDIENTE DE DECISIÓN","AL DÍA"))</f>
        <v>AL DÍA</v>
      </c>
      <c r="AE10" s="40"/>
      <c r="AF10" s="40"/>
      <c r="AG10" s="41"/>
    </row>
    <row r="11" spans="1:46" ht="24" customHeight="1">
      <c r="B11" s="42"/>
      <c r="C11" s="43"/>
      <c r="D11" s="44"/>
      <c r="F11" s="42"/>
      <c r="G11" s="43"/>
      <c r="H11" s="44"/>
      <c r="J11" s="42"/>
      <c r="K11" s="43"/>
      <c r="L11" s="44"/>
      <c r="N11" s="42"/>
      <c r="O11" s="43"/>
      <c r="P11" s="44"/>
      <c r="R11" s="42"/>
      <c r="S11" s="43"/>
      <c r="T11" s="44"/>
      <c r="V11" s="42"/>
      <c r="W11" s="43"/>
      <c r="X11" s="44"/>
      <c r="Z11" s="42"/>
      <c r="AA11" s="43"/>
      <c r="AB11" s="44"/>
      <c r="AD11" s="42"/>
      <c r="AE11" s="43"/>
      <c r="AF11" s="43"/>
      <c r="AG11" s="44"/>
    </row>
    <row r="12" spans="1:46" ht="24" customHeight="1">
      <c r="B12" s="45" t="s">
        <v>93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4" spans="1:46" ht="43.95" customHeight="1">
      <c r="B14" s="4" t="s">
        <v>12</v>
      </c>
      <c r="C14" s="5" t="s">
        <v>94</v>
      </c>
      <c r="D14" s="5" t="s">
        <v>95</v>
      </c>
      <c r="E14" s="5" t="s">
        <v>96</v>
      </c>
      <c r="F14" s="5" t="s">
        <v>97</v>
      </c>
      <c r="G14" s="5" t="s">
        <v>98</v>
      </c>
      <c r="H14" s="5" t="s">
        <v>99</v>
      </c>
      <c r="I14" s="5" t="s">
        <v>100</v>
      </c>
      <c r="J14" s="5" t="s">
        <v>101</v>
      </c>
      <c r="K14" s="5" t="s">
        <v>102</v>
      </c>
      <c r="L14" s="5" t="s">
        <v>103</v>
      </c>
      <c r="M14" s="5" t="s">
        <v>104</v>
      </c>
      <c r="N14" s="5" t="s">
        <v>105</v>
      </c>
      <c r="O14" s="5" t="s">
        <v>106</v>
      </c>
      <c r="P14" s="5" t="s">
        <v>107</v>
      </c>
      <c r="Q14" s="5" t="s">
        <v>108</v>
      </c>
      <c r="R14" s="5" t="s">
        <v>109</v>
      </c>
      <c r="S14" s="5" t="s">
        <v>110</v>
      </c>
      <c r="T14" s="5" t="s">
        <v>111</v>
      </c>
      <c r="U14" s="5" t="s">
        <v>112</v>
      </c>
      <c r="V14" s="5" t="s">
        <v>10</v>
      </c>
      <c r="W14" s="5" t="s">
        <v>113</v>
      </c>
      <c r="X14" s="5" t="s">
        <v>45</v>
      </c>
      <c r="Y14" s="5" t="s">
        <v>114</v>
      </c>
      <c r="Z14" s="5" t="s">
        <v>41</v>
      </c>
      <c r="AA14" s="5" t="s">
        <v>115</v>
      </c>
      <c r="AB14" s="5" t="s">
        <v>116</v>
      </c>
      <c r="AC14" s="5" t="s">
        <v>117</v>
      </c>
      <c r="AD14" s="5" t="s">
        <v>118</v>
      </c>
      <c r="AE14" s="5" t="s">
        <v>119</v>
      </c>
      <c r="AF14" s="5" t="s">
        <v>120</v>
      </c>
      <c r="AG14" s="6" t="s">
        <v>121</v>
      </c>
      <c r="AH14" s="14" t="s">
        <v>122</v>
      </c>
      <c r="AI14" s="15" t="s">
        <v>123</v>
      </c>
      <c r="AJ14" s="15" t="s">
        <v>124</v>
      </c>
      <c r="AK14" s="15" t="s">
        <v>125</v>
      </c>
      <c r="AL14" s="15" t="s">
        <v>126</v>
      </c>
      <c r="AM14" s="15" t="s">
        <v>127</v>
      </c>
      <c r="AN14" s="15" t="s">
        <v>128</v>
      </c>
      <c r="AO14" s="15" t="s">
        <v>129</v>
      </c>
      <c r="AP14" s="15" t="s">
        <v>130</v>
      </c>
      <c r="AQ14" s="15" t="s">
        <v>131</v>
      </c>
      <c r="AR14" s="15" t="s">
        <v>132</v>
      </c>
      <c r="AS14" s="15" t="s">
        <v>133</v>
      </c>
      <c r="AT14" s="16" t="s">
        <v>134</v>
      </c>
    </row>
    <row r="15" spans="1:46" ht="30" customHeight="1">
      <c r="B15" s="8"/>
      <c r="C15" s="1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 t="str">
        <f t="shared" ref="S15:S46" si="0">IF(OR(Q15="",R15=""),"",Q15*R15)</f>
        <v/>
      </c>
      <c r="T15" s="8" t="str">
        <f t="shared" ref="T15:T46" si="1">IF(S15="","",IF(S15&gt;=17,"Crítico",IF(S15&gt;=10,"Alto",IF(S15&gt;=5,"Medio","Bajo"))))</f>
        <v/>
      </c>
      <c r="U15" s="8"/>
      <c r="V15" s="8"/>
      <c r="W15" s="8"/>
      <c r="X15" s="8"/>
      <c r="Y15" s="8"/>
      <c r="Z15" s="8"/>
      <c r="AA15" s="11"/>
      <c r="AB15" s="11"/>
      <c r="AC15" s="8"/>
      <c r="AD15" s="8"/>
      <c r="AE15" s="8"/>
      <c r="AF15" s="8"/>
      <c r="AG15" s="8"/>
      <c r="AH15" s="25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7"/>
    </row>
    <row r="16" spans="1:46" ht="30" customHeight="1">
      <c r="B16" s="9" t="str">
        <f t="shared" ref="B16:B46" si="2">IF(C16="","","SC-"&amp;TEXT(ROW()-12,"000"))</f>
        <v/>
      </c>
      <c r="C16" s="1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0"/>
        <v/>
      </c>
      <c r="T16" s="9" t="str">
        <f t="shared" si="1"/>
        <v/>
      </c>
      <c r="U16" s="9"/>
      <c r="V16" s="9"/>
      <c r="W16" s="9"/>
      <c r="X16" s="9"/>
      <c r="Y16" s="9"/>
      <c r="Z16" s="9"/>
      <c r="AA16" s="12"/>
      <c r="AB16" s="12"/>
      <c r="AC16" s="9"/>
      <c r="AD16" s="9"/>
      <c r="AE16" s="9"/>
      <c r="AF16" s="9"/>
      <c r="AG16" s="9"/>
      <c r="AH16" s="28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30"/>
    </row>
    <row r="17" spans="2:46" ht="30" customHeight="1">
      <c r="B17" s="9" t="str">
        <f t="shared" si="2"/>
        <v/>
      </c>
      <c r="C17" s="1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0"/>
        <v/>
      </c>
      <c r="T17" s="9" t="str">
        <f t="shared" si="1"/>
        <v/>
      </c>
      <c r="U17" s="9"/>
      <c r="V17" s="9"/>
      <c r="W17" s="9"/>
      <c r="X17" s="9"/>
      <c r="Y17" s="9"/>
      <c r="Z17" s="9"/>
      <c r="AA17" s="12"/>
      <c r="AB17" s="12"/>
      <c r="AC17" s="9"/>
      <c r="AD17" s="9"/>
      <c r="AE17" s="9"/>
      <c r="AF17" s="9"/>
      <c r="AG17" s="9"/>
      <c r="AH17" s="28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</row>
    <row r="18" spans="2:46" ht="30" customHeight="1">
      <c r="B18" s="9" t="str">
        <f t="shared" si="2"/>
        <v/>
      </c>
      <c r="C18" s="12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0"/>
        <v/>
      </c>
      <c r="T18" s="9" t="str">
        <f t="shared" si="1"/>
        <v/>
      </c>
      <c r="U18" s="9"/>
      <c r="V18" s="9"/>
      <c r="W18" s="9"/>
      <c r="X18" s="9"/>
      <c r="Y18" s="9"/>
      <c r="Z18" s="9"/>
      <c r="AA18" s="12"/>
      <c r="AB18" s="12"/>
      <c r="AC18" s="9"/>
      <c r="AD18" s="9"/>
      <c r="AE18" s="9"/>
      <c r="AF18" s="9"/>
      <c r="AG18" s="9"/>
      <c r="AH18" s="28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0"/>
    </row>
    <row r="19" spans="2:46" ht="30" customHeight="1">
      <c r="B19" s="9" t="str">
        <f t="shared" si="2"/>
        <v/>
      </c>
      <c r="C19" s="12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0"/>
        <v/>
      </c>
      <c r="T19" s="9" t="str">
        <f t="shared" si="1"/>
        <v/>
      </c>
      <c r="U19" s="9"/>
      <c r="V19" s="9"/>
      <c r="W19" s="9"/>
      <c r="X19" s="9"/>
      <c r="Y19" s="9"/>
      <c r="Z19" s="9"/>
      <c r="AA19" s="12"/>
      <c r="AB19" s="12"/>
      <c r="AC19" s="9"/>
      <c r="AD19" s="9"/>
      <c r="AE19" s="9"/>
      <c r="AF19" s="9"/>
      <c r="AG19" s="9"/>
      <c r="AH19" s="28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</row>
    <row r="20" spans="2:46" ht="30" customHeight="1">
      <c r="B20" s="9" t="str">
        <f t="shared" si="2"/>
        <v/>
      </c>
      <c r="C20" s="1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0"/>
        <v/>
      </c>
      <c r="T20" s="9" t="str">
        <f t="shared" si="1"/>
        <v/>
      </c>
      <c r="U20" s="9"/>
      <c r="V20" s="9"/>
      <c r="W20" s="9"/>
      <c r="X20" s="9"/>
      <c r="Y20" s="9"/>
      <c r="Z20" s="9"/>
      <c r="AA20" s="12"/>
      <c r="AB20" s="12"/>
      <c r="AC20" s="9"/>
      <c r="AD20" s="9"/>
      <c r="AE20" s="9"/>
      <c r="AF20" s="9"/>
      <c r="AG20" s="9"/>
      <c r="AH20" s="28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30"/>
    </row>
    <row r="21" spans="2:46" ht="30" customHeight="1">
      <c r="B21" s="9" t="str">
        <f t="shared" si="2"/>
        <v/>
      </c>
      <c r="C21" s="1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0"/>
        <v/>
      </c>
      <c r="T21" s="9" t="str">
        <f t="shared" si="1"/>
        <v/>
      </c>
      <c r="U21" s="9"/>
      <c r="V21" s="9"/>
      <c r="W21" s="9"/>
      <c r="X21" s="9"/>
      <c r="Y21" s="9"/>
      <c r="Z21" s="9"/>
      <c r="AA21" s="12"/>
      <c r="AB21" s="12"/>
      <c r="AC21" s="9"/>
      <c r="AD21" s="9"/>
      <c r="AE21" s="9"/>
      <c r="AF21" s="9"/>
      <c r="AG21" s="9"/>
      <c r="AH21" s="28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</row>
    <row r="22" spans="2:46" ht="30" customHeight="1">
      <c r="B22" s="9" t="str">
        <f t="shared" si="2"/>
        <v/>
      </c>
      <c r="C22" s="1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0"/>
        <v/>
      </c>
      <c r="T22" s="9" t="str">
        <f t="shared" si="1"/>
        <v/>
      </c>
      <c r="U22" s="9"/>
      <c r="V22" s="9"/>
      <c r="W22" s="9"/>
      <c r="X22" s="9"/>
      <c r="Y22" s="9"/>
      <c r="Z22" s="9"/>
      <c r="AA22" s="12"/>
      <c r="AB22" s="12"/>
      <c r="AC22" s="9"/>
      <c r="AD22" s="9"/>
      <c r="AE22" s="9"/>
      <c r="AF22" s="9"/>
      <c r="AG22" s="9"/>
      <c r="AH22" s="28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</row>
    <row r="23" spans="2:46" ht="30" customHeight="1">
      <c r="B23" s="9" t="str">
        <f t="shared" si="2"/>
        <v/>
      </c>
      <c r="C23" s="12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0"/>
        <v/>
      </c>
      <c r="T23" s="9" t="str">
        <f t="shared" si="1"/>
        <v/>
      </c>
      <c r="U23" s="9"/>
      <c r="V23" s="9"/>
      <c r="W23" s="9"/>
      <c r="X23" s="9"/>
      <c r="Y23" s="9"/>
      <c r="Z23" s="9"/>
      <c r="AA23" s="12"/>
      <c r="AB23" s="12"/>
      <c r="AC23" s="9"/>
      <c r="AD23" s="9"/>
      <c r="AE23" s="9"/>
      <c r="AF23" s="9"/>
      <c r="AG23" s="9"/>
      <c r="AH23" s="28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30"/>
    </row>
    <row r="24" spans="2:46" ht="30" customHeight="1">
      <c r="B24" s="9" t="str">
        <f t="shared" si="2"/>
        <v/>
      </c>
      <c r="C24" s="1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0"/>
        <v/>
      </c>
      <c r="T24" s="9" t="str">
        <f t="shared" si="1"/>
        <v/>
      </c>
      <c r="U24" s="9"/>
      <c r="V24" s="9"/>
      <c r="W24" s="9"/>
      <c r="X24" s="9"/>
      <c r="Y24" s="9"/>
      <c r="Z24" s="9"/>
      <c r="AA24" s="12"/>
      <c r="AB24" s="12"/>
      <c r="AC24" s="9"/>
      <c r="AD24" s="9"/>
      <c r="AE24" s="9"/>
      <c r="AF24" s="9"/>
      <c r="AG24" s="9"/>
      <c r="AH24" s="28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30"/>
    </row>
    <row r="25" spans="2:46" ht="30" customHeight="1">
      <c r="B25" s="9" t="str">
        <f t="shared" si="2"/>
        <v/>
      </c>
      <c r="C25" s="1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0"/>
        <v/>
      </c>
      <c r="T25" s="9" t="str">
        <f t="shared" si="1"/>
        <v/>
      </c>
      <c r="U25" s="9"/>
      <c r="V25" s="9"/>
      <c r="W25" s="9"/>
      <c r="X25" s="9"/>
      <c r="Y25" s="9"/>
      <c r="Z25" s="9"/>
      <c r="AA25" s="12"/>
      <c r="AB25" s="12"/>
      <c r="AC25" s="9"/>
      <c r="AD25" s="9"/>
      <c r="AE25" s="9"/>
      <c r="AF25" s="9"/>
      <c r="AG25" s="9"/>
      <c r="AH25" s="28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30"/>
    </row>
    <row r="26" spans="2:46" ht="30" customHeight="1">
      <c r="B26" s="9" t="str">
        <f t="shared" si="2"/>
        <v/>
      </c>
      <c r="C26" s="1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0"/>
        <v/>
      </c>
      <c r="T26" s="9" t="str">
        <f t="shared" si="1"/>
        <v/>
      </c>
      <c r="U26" s="9"/>
      <c r="V26" s="9"/>
      <c r="W26" s="9"/>
      <c r="X26" s="9"/>
      <c r="Y26" s="9"/>
      <c r="Z26" s="9"/>
      <c r="AA26" s="12"/>
      <c r="AB26" s="12"/>
      <c r="AC26" s="9"/>
      <c r="AD26" s="9"/>
      <c r="AE26" s="9"/>
      <c r="AF26" s="9"/>
      <c r="AG26" s="9"/>
      <c r="AH26" s="28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</row>
    <row r="27" spans="2:46" ht="30" customHeight="1">
      <c r="B27" s="9" t="str">
        <f t="shared" si="2"/>
        <v/>
      </c>
      <c r="C27" s="1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0"/>
        <v/>
      </c>
      <c r="T27" s="9" t="str">
        <f t="shared" si="1"/>
        <v/>
      </c>
      <c r="U27" s="9"/>
      <c r="V27" s="9"/>
      <c r="W27" s="9"/>
      <c r="X27" s="9"/>
      <c r="Y27" s="9"/>
      <c r="Z27" s="9"/>
      <c r="AA27" s="12"/>
      <c r="AB27" s="12"/>
      <c r="AC27" s="9"/>
      <c r="AD27" s="9"/>
      <c r="AE27" s="9"/>
      <c r="AF27" s="9"/>
      <c r="AG27" s="9"/>
      <c r="AH27" s="28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30"/>
    </row>
    <row r="28" spans="2:46" ht="30" customHeight="1">
      <c r="B28" s="9" t="str">
        <f t="shared" si="2"/>
        <v/>
      </c>
      <c r="C28" s="1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0"/>
        <v/>
      </c>
      <c r="T28" s="9" t="str">
        <f t="shared" si="1"/>
        <v/>
      </c>
      <c r="U28" s="9"/>
      <c r="V28" s="9"/>
      <c r="W28" s="9"/>
      <c r="X28" s="9"/>
      <c r="Y28" s="9"/>
      <c r="Z28" s="9"/>
      <c r="AA28" s="12"/>
      <c r="AB28" s="12"/>
      <c r="AC28" s="9"/>
      <c r="AD28" s="9"/>
      <c r="AE28" s="9"/>
      <c r="AF28" s="9"/>
      <c r="AG28" s="9"/>
      <c r="AH28" s="28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30"/>
    </row>
    <row r="29" spans="2:46" ht="30" customHeight="1">
      <c r="B29" s="9" t="str">
        <f t="shared" si="2"/>
        <v/>
      </c>
      <c r="C29" s="1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0"/>
        <v/>
      </c>
      <c r="T29" s="9" t="str">
        <f t="shared" si="1"/>
        <v/>
      </c>
      <c r="U29" s="9"/>
      <c r="V29" s="9"/>
      <c r="W29" s="9"/>
      <c r="X29" s="9"/>
      <c r="Y29" s="9"/>
      <c r="Z29" s="9"/>
      <c r="AA29" s="12"/>
      <c r="AB29" s="12"/>
      <c r="AC29" s="9"/>
      <c r="AD29" s="9"/>
      <c r="AE29" s="9"/>
      <c r="AF29" s="9"/>
      <c r="AG29" s="9"/>
      <c r="AH29" s="28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30"/>
    </row>
    <row r="30" spans="2:46" ht="30" customHeight="1">
      <c r="B30" s="9" t="str">
        <f t="shared" si="2"/>
        <v/>
      </c>
      <c r="C30" s="1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0"/>
        <v/>
      </c>
      <c r="T30" s="9" t="str">
        <f t="shared" si="1"/>
        <v/>
      </c>
      <c r="U30" s="9"/>
      <c r="V30" s="9"/>
      <c r="W30" s="9"/>
      <c r="X30" s="9"/>
      <c r="Y30" s="9"/>
      <c r="Z30" s="9"/>
      <c r="AA30" s="12"/>
      <c r="AB30" s="12"/>
      <c r="AC30" s="9"/>
      <c r="AD30" s="9"/>
      <c r="AE30" s="9"/>
      <c r="AF30" s="9"/>
      <c r="AG30" s="9"/>
      <c r="AH30" s="28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30"/>
    </row>
    <row r="31" spans="2:46" ht="30" customHeight="1">
      <c r="B31" s="9" t="str">
        <f t="shared" si="2"/>
        <v/>
      </c>
      <c r="C31" s="1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0"/>
        <v/>
      </c>
      <c r="T31" s="9" t="str">
        <f t="shared" si="1"/>
        <v/>
      </c>
      <c r="U31" s="9"/>
      <c r="V31" s="9"/>
      <c r="W31" s="9"/>
      <c r="X31" s="9"/>
      <c r="Y31" s="9"/>
      <c r="Z31" s="9"/>
      <c r="AA31" s="12"/>
      <c r="AB31" s="12"/>
      <c r="AC31" s="9"/>
      <c r="AD31" s="9"/>
      <c r="AE31" s="9"/>
      <c r="AF31" s="9"/>
      <c r="AG31" s="9"/>
      <c r="AH31" s="28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30"/>
    </row>
    <row r="32" spans="2:46" ht="30" customHeight="1">
      <c r="B32" s="9" t="str">
        <f t="shared" si="2"/>
        <v/>
      </c>
      <c r="C32" s="1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0"/>
        <v/>
      </c>
      <c r="T32" s="9" t="str">
        <f t="shared" si="1"/>
        <v/>
      </c>
      <c r="U32" s="9"/>
      <c r="V32" s="9"/>
      <c r="W32" s="9"/>
      <c r="X32" s="9"/>
      <c r="Y32" s="9"/>
      <c r="Z32" s="9"/>
      <c r="AA32" s="12"/>
      <c r="AB32" s="12"/>
      <c r="AC32" s="9"/>
      <c r="AD32" s="9"/>
      <c r="AE32" s="9"/>
      <c r="AF32" s="9"/>
      <c r="AG32" s="9"/>
      <c r="AH32" s="28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30"/>
    </row>
    <row r="33" spans="2:46" ht="30" customHeight="1">
      <c r="B33" s="9" t="str">
        <f t="shared" si="2"/>
        <v/>
      </c>
      <c r="C33" s="1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0"/>
        <v/>
      </c>
      <c r="T33" s="9" t="str">
        <f t="shared" si="1"/>
        <v/>
      </c>
      <c r="U33" s="9"/>
      <c r="V33" s="9"/>
      <c r="W33" s="9"/>
      <c r="X33" s="9"/>
      <c r="Y33" s="9"/>
      <c r="Z33" s="9"/>
      <c r="AA33" s="12"/>
      <c r="AB33" s="12"/>
      <c r="AC33" s="9"/>
      <c r="AD33" s="9"/>
      <c r="AE33" s="9"/>
      <c r="AF33" s="9"/>
      <c r="AG33" s="9"/>
      <c r="AH33" s="28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30"/>
    </row>
    <row r="34" spans="2:46" ht="30" customHeight="1">
      <c r="B34" s="9" t="str">
        <f t="shared" si="2"/>
        <v/>
      </c>
      <c r="C34" s="1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0"/>
        <v/>
      </c>
      <c r="T34" s="9" t="str">
        <f t="shared" si="1"/>
        <v/>
      </c>
      <c r="U34" s="9"/>
      <c r="V34" s="9"/>
      <c r="W34" s="9"/>
      <c r="X34" s="9"/>
      <c r="Y34" s="9"/>
      <c r="Z34" s="9"/>
      <c r="AA34" s="12"/>
      <c r="AB34" s="12"/>
      <c r="AC34" s="9"/>
      <c r="AD34" s="9"/>
      <c r="AE34" s="9"/>
      <c r="AF34" s="9"/>
      <c r="AG34" s="9"/>
      <c r="AH34" s="28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0"/>
    </row>
    <row r="35" spans="2:46" ht="30" customHeight="1">
      <c r="B35" s="9" t="str">
        <f t="shared" si="2"/>
        <v/>
      </c>
      <c r="C35" s="1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0"/>
        <v/>
      </c>
      <c r="T35" s="9" t="str">
        <f t="shared" si="1"/>
        <v/>
      </c>
      <c r="U35" s="9"/>
      <c r="V35" s="9"/>
      <c r="W35" s="9"/>
      <c r="X35" s="9"/>
      <c r="Y35" s="9"/>
      <c r="Z35" s="9"/>
      <c r="AA35" s="12"/>
      <c r="AB35" s="12"/>
      <c r="AC35" s="9"/>
      <c r="AD35" s="9"/>
      <c r="AE35" s="9"/>
      <c r="AF35" s="9"/>
      <c r="AG35" s="9"/>
      <c r="AH35" s="28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30"/>
    </row>
    <row r="36" spans="2:46" ht="30" customHeight="1">
      <c r="B36" s="9" t="str">
        <f t="shared" si="2"/>
        <v/>
      </c>
      <c r="C36" s="1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0"/>
        <v/>
      </c>
      <c r="T36" s="9" t="str">
        <f t="shared" si="1"/>
        <v/>
      </c>
      <c r="U36" s="9"/>
      <c r="V36" s="9"/>
      <c r="W36" s="9"/>
      <c r="X36" s="9"/>
      <c r="Y36" s="9"/>
      <c r="Z36" s="9"/>
      <c r="AA36" s="12"/>
      <c r="AB36" s="12"/>
      <c r="AC36" s="9"/>
      <c r="AD36" s="9"/>
      <c r="AE36" s="9"/>
      <c r="AF36" s="9"/>
      <c r="AG36" s="9"/>
      <c r="AH36" s="28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30"/>
    </row>
    <row r="37" spans="2:46" ht="30" customHeight="1">
      <c r="B37" s="9" t="str">
        <f t="shared" si="2"/>
        <v/>
      </c>
      <c r="C37" s="1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0"/>
        <v/>
      </c>
      <c r="T37" s="9" t="str">
        <f t="shared" si="1"/>
        <v/>
      </c>
      <c r="U37" s="9"/>
      <c r="V37" s="9"/>
      <c r="W37" s="9"/>
      <c r="X37" s="9"/>
      <c r="Y37" s="9"/>
      <c r="Z37" s="9"/>
      <c r="AA37" s="12"/>
      <c r="AB37" s="12"/>
      <c r="AC37" s="9"/>
      <c r="AD37" s="9"/>
      <c r="AE37" s="9"/>
      <c r="AF37" s="9"/>
      <c r="AG37" s="9"/>
      <c r="AH37" s="28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30"/>
    </row>
    <row r="38" spans="2:46" ht="30" customHeight="1">
      <c r="B38" s="9" t="str">
        <f t="shared" si="2"/>
        <v/>
      </c>
      <c r="C38" s="1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0"/>
        <v/>
      </c>
      <c r="T38" s="9" t="str">
        <f t="shared" si="1"/>
        <v/>
      </c>
      <c r="U38" s="9"/>
      <c r="V38" s="9"/>
      <c r="W38" s="9"/>
      <c r="X38" s="9"/>
      <c r="Y38" s="9"/>
      <c r="Z38" s="9"/>
      <c r="AA38" s="12"/>
      <c r="AB38" s="12"/>
      <c r="AC38" s="9"/>
      <c r="AD38" s="9"/>
      <c r="AE38" s="9"/>
      <c r="AF38" s="9"/>
      <c r="AG38" s="9"/>
      <c r="AH38" s="28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30"/>
    </row>
    <row r="39" spans="2:46" ht="30" customHeight="1">
      <c r="B39" s="9" t="str">
        <f t="shared" si="2"/>
        <v/>
      </c>
      <c r="C39" s="1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0"/>
        <v/>
      </c>
      <c r="T39" s="9" t="str">
        <f t="shared" si="1"/>
        <v/>
      </c>
      <c r="U39" s="9"/>
      <c r="V39" s="9"/>
      <c r="W39" s="9"/>
      <c r="X39" s="9"/>
      <c r="Y39" s="9"/>
      <c r="Z39" s="9"/>
      <c r="AA39" s="12"/>
      <c r="AB39" s="12"/>
      <c r="AC39" s="9"/>
      <c r="AD39" s="9"/>
      <c r="AE39" s="9"/>
      <c r="AF39" s="9"/>
      <c r="AG39" s="9"/>
      <c r="AH39" s="28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30"/>
    </row>
    <row r="40" spans="2:46" ht="30" customHeight="1">
      <c r="B40" s="9" t="str">
        <f t="shared" si="2"/>
        <v/>
      </c>
      <c r="C40" s="1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0"/>
        <v/>
      </c>
      <c r="T40" s="9" t="str">
        <f t="shared" si="1"/>
        <v/>
      </c>
      <c r="U40" s="9"/>
      <c r="V40" s="9"/>
      <c r="W40" s="9"/>
      <c r="X40" s="9"/>
      <c r="Y40" s="9"/>
      <c r="Z40" s="9"/>
      <c r="AA40" s="12"/>
      <c r="AB40" s="12"/>
      <c r="AC40" s="9"/>
      <c r="AD40" s="9"/>
      <c r="AE40" s="9"/>
      <c r="AF40" s="9"/>
      <c r="AG40" s="9"/>
      <c r="AH40" s="28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30"/>
    </row>
    <row r="41" spans="2:46" ht="30" customHeight="1">
      <c r="B41" s="9" t="str">
        <f t="shared" si="2"/>
        <v/>
      </c>
      <c r="C41" s="1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0"/>
        <v/>
      </c>
      <c r="T41" s="9" t="str">
        <f t="shared" si="1"/>
        <v/>
      </c>
      <c r="U41" s="9"/>
      <c r="V41" s="9"/>
      <c r="W41" s="9"/>
      <c r="X41" s="9"/>
      <c r="Y41" s="9"/>
      <c r="Z41" s="9"/>
      <c r="AA41" s="12"/>
      <c r="AB41" s="12"/>
      <c r="AC41" s="9"/>
      <c r="AD41" s="9"/>
      <c r="AE41" s="9"/>
      <c r="AF41" s="9"/>
      <c r="AG41" s="9"/>
      <c r="AH41" s="28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30"/>
    </row>
    <row r="42" spans="2:46" ht="30" customHeight="1">
      <c r="B42" s="9" t="str">
        <f t="shared" si="2"/>
        <v/>
      </c>
      <c r="C42" s="1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0"/>
        <v/>
      </c>
      <c r="T42" s="9" t="str">
        <f t="shared" si="1"/>
        <v/>
      </c>
      <c r="U42" s="9"/>
      <c r="V42" s="9"/>
      <c r="W42" s="9"/>
      <c r="X42" s="9"/>
      <c r="Y42" s="9"/>
      <c r="Z42" s="9"/>
      <c r="AA42" s="12"/>
      <c r="AB42" s="12"/>
      <c r="AC42" s="9"/>
      <c r="AD42" s="9"/>
      <c r="AE42" s="9"/>
      <c r="AF42" s="9"/>
      <c r="AG42" s="9"/>
      <c r="AH42" s="28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30"/>
    </row>
    <row r="43" spans="2:46" ht="30" customHeight="1">
      <c r="B43" s="9" t="str">
        <f t="shared" si="2"/>
        <v/>
      </c>
      <c r="C43" s="1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0"/>
        <v/>
      </c>
      <c r="T43" s="9" t="str">
        <f t="shared" si="1"/>
        <v/>
      </c>
      <c r="U43" s="9"/>
      <c r="V43" s="9"/>
      <c r="W43" s="9"/>
      <c r="X43" s="9"/>
      <c r="Y43" s="9"/>
      <c r="Z43" s="9"/>
      <c r="AA43" s="12"/>
      <c r="AB43" s="12"/>
      <c r="AC43" s="9"/>
      <c r="AD43" s="9"/>
      <c r="AE43" s="9"/>
      <c r="AF43" s="9"/>
      <c r="AG43" s="9"/>
      <c r="AH43" s="28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30"/>
    </row>
    <row r="44" spans="2:46" ht="30" customHeight="1">
      <c r="B44" s="9" t="str">
        <f t="shared" si="2"/>
        <v/>
      </c>
      <c r="C44" s="1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0"/>
        <v/>
      </c>
      <c r="T44" s="9" t="str">
        <f t="shared" si="1"/>
        <v/>
      </c>
      <c r="U44" s="9"/>
      <c r="V44" s="9"/>
      <c r="W44" s="9"/>
      <c r="X44" s="9"/>
      <c r="Y44" s="9"/>
      <c r="Z44" s="9"/>
      <c r="AA44" s="12"/>
      <c r="AB44" s="12"/>
      <c r="AC44" s="9"/>
      <c r="AD44" s="9"/>
      <c r="AE44" s="9"/>
      <c r="AF44" s="9"/>
      <c r="AG44" s="9"/>
      <c r="AH44" s="28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30"/>
    </row>
    <row r="45" spans="2:46" ht="30" customHeight="1">
      <c r="B45" s="9" t="str">
        <f t="shared" si="2"/>
        <v/>
      </c>
      <c r="C45" s="1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0"/>
        <v/>
      </c>
      <c r="T45" s="9" t="str">
        <f t="shared" si="1"/>
        <v/>
      </c>
      <c r="U45" s="9"/>
      <c r="V45" s="9"/>
      <c r="W45" s="9"/>
      <c r="X45" s="9"/>
      <c r="Y45" s="9"/>
      <c r="Z45" s="9"/>
      <c r="AA45" s="12"/>
      <c r="AB45" s="12"/>
      <c r="AC45" s="9"/>
      <c r="AD45" s="9"/>
      <c r="AE45" s="9"/>
      <c r="AF45" s="9"/>
      <c r="AG45" s="9"/>
      <c r="AH45" s="28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30"/>
    </row>
    <row r="46" spans="2:46" ht="30" customHeight="1">
      <c r="B46" s="9" t="str">
        <f t="shared" si="2"/>
        <v/>
      </c>
      <c r="C46" s="1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0"/>
        <v/>
      </c>
      <c r="T46" s="9" t="str">
        <f t="shared" si="1"/>
        <v/>
      </c>
      <c r="U46" s="9"/>
      <c r="V46" s="9"/>
      <c r="W46" s="9"/>
      <c r="X46" s="9"/>
      <c r="Y46" s="9"/>
      <c r="Z46" s="9"/>
      <c r="AA46" s="12"/>
      <c r="AB46" s="12"/>
      <c r="AC46" s="9"/>
      <c r="AD46" s="9"/>
      <c r="AE46" s="9"/>
      <c r="AF46" s="9"/>
      <c r="AG46" s="9"/>
      <c r="AH46" s="28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30"/>
    </row>
    <row r="47" spans="2:46" ht="30" customHeight="1">
      <c r="B47" s="9" t="str">
        <f t="shared" ref="B47:B78" si="3">IF(C47="","","SC-"&amp;TEXT(ROW()-12,"000"))</f>
        <v/>
      </c>
      <c r="C47" s="1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ref="S47:S78" si="4">IF(OR(Q47="",R47=""),"",Q47*R47)</f>
        <v/>
      </c>
      <c r="T47" s="9" t="str">
        <f t="shared" ref="T47:T78" si="5">IF(S47="","",IF(S47&gt;=17,"Crítico",IF(S47&gt;=10,"Alto",IF(S47&gt;=5,"Medio","Bajo"))))</f>
        <v/>
      </c>
      <c r="U47" s="9"/>
      <c r="V47" s="9"/>
      <c r="W47" s="9"/>
      <c r="X47" s="9"/>
      <c r="Y47" s="9"/>
      <c r="Z47" s="9"/>
      <c r="AA47" s="12"/>
      <c r="AB47" s="12"/>
      <c r="AC47" s="9"/>
      <c r="AD47" s="9"/>
      <c r="AE47" s="9"/>
      <c r="AF47" s="9"/>
      <c r="AG47" s="9"/>
      <c r="AH47" s="28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30"/>
    </row>
    <row r="48" spans="2:46" ht="30" customHeight="1">
      <c r="B48" s="9" t="str">
        <f t="shared" si="3"/>
        <v/>
      </c>
      <c r="C48" s="1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4"/>
        <v/>
      </c>
      <c r="T48" s="9" t="str">
        <f t="shared" si="5"/>
        <v/>
      </c>
      <c r="U48" s="9"/>
      <c r="V48" s="9"/>
      <c r="W48" s="9"/>
      <c r="X48" s="9"/>
      <c r="Y48" s="9"/>
      <c r="Z48" s="9"/>
      <c r="AA48" s="12"/>
      <c r="AB48" s="12"/>
      <c r="AC48" s="9"/>
      <c r="AD48" s="9"/>
      <c r="AE48" s="9"/>
      <c r="AF48" s="9"/>
      <c r="AG48" s="9"/>
      <c r="AH48" s="28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30"/>
    </row>
    <row r="49" spans="2:46" ht="30" customHeight="1">
      <c r="B49" s="9" t="str">
        <f t="shared" si="3"/>
        <v/>
      </c>
      <c r="C49" s="1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4"/>
        <v/>
      </c>
      <c r="T49" s="9" t="str">
        <f t="shared" si="5"/>
        <v/>
      </c>
      <c r="U49" s="9"/>
      <c r="V49" s="9"/>
      <c r="W49" s="9"/>
      <c r="X49" s="9"/>
      <c r="Y49" s="9"/>
      <c r="Z49" s="9"/>
      <c r="AA49" s="12"/>
      <c r="AB49" s="12"/>
      <c r="AC49" s="9"/>
      <c r="AD49" s="9"/>
      <c r="AE49" s="9"/>
      <c r="AF49" s="9"/>
      <c r="AG49" s="9"/>
      <c r="AH49" s="28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30"/>
    </row>
    <row r="50" spans="2:46" ht="30" customHeight="1">
      <c r="B50" s="9" t="str">
        <f t="shared" si="3"/>
        <v/>
      </c>
      <c r="C50" s="1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4"/>
        <v/>
      </c>
      <c r="T50" s="9" t="str">
        <f t="shared" si="5"/>
        <v/>
      </c>
      <c r="U50" s="9"/>
      <c r="V50" s="9"/>
      <c r="W50" s="9"/>
      <c r="X50" s="9"/>
      <c r="Y50" s="9"/>
      <c r="Z50" s="9"/>
      <c r="AA50" s="12"/>
      <c r="AB50" s="12"/>
      <c r="AC50" s="9"/>
      <c r="AD50" s="9"/>
      <c r="AE50" s="9"/>
      <c r="AF50" s="9"/>
      <c r="AG50" s="9"/>
      <c r="AH50" s="28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30"/>
    </row>
    <row r="51" spans="2:46" ht="30" customHeight="1">
      <c r="B51" s="9" t="str">
        <f t="shared" si="3"/>
        <v/>
      </c>
      <c r="C51" s="1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4"/>
        <v/>
      </c>
      <c r="T51" s="9" t="str">
        <f t="shared" si="5"/>
        <v/>
      </c>
      <c r="U51" s="9"/>
      <c r="V51" s="9"/>
      <c r="W51" s="9"/>
      <c r="X51" s="9"/>
      <c r="Y51" s="9"/>
      <c r="Z51" s="9"/>
      <c r="AA51" s="12"/>
      <c r="AB51" s="12"/>
      <c r="AC51" s="9"/>
      <c r="AD51" s="9"/>
      <c r="AE51" s="9"/>
      <c r="AF51" s="9"/>
      <c r="AG51" s="9"/>
      <c r="AH51" s="28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30"/>
    </row>
    <row r="52" spans="2:46" ht="30" customHeight="1">
      <c r="B52" s="9" t="str">
        <f t="shared" si="3"/>
        <v/>
      </c>
      <c r="C52" s="1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4"/>
        <v/>
      </c>
      <c r="T52" s="9" t="str">
        <f t="shared" si="5"/>
        <v/>
      </c>
      <c r="U52" s="9"/>
      <c r="V52" s="9"/>
      <c r="W52" s="9"/>
      <c r="X52" s="9"/>
      <c r="Y52" s="9"/>
      <c r="Z52" s="9"/>
      <c r="AA52" s="12"/>
      <c r="AB52" s="12"/>
      <c r="AC52" s="9"/>
      <c r="AD52" s="9"/>
      <c r="AE52" s="9"/>
      <c r="AF52" s="9"/>
      <c r="AG52" s="9"/>
      <c r="AH52" s="28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30"/>
    </row>
    <row r="53" spans="2:46" ht="30" customHeight="1">
      <c r="B53" s="9" t="str">
        <f t="shared" si="3"/>
        <v/>
      </c>
      <c r="C53" s="1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4"/>
        <v/>
      </c>
      <c r="T53" s="9" t="str">
        <f t="shared" si="5"/>
        <v/>
      </c>
      <c r="U53" s="9"/>
      <c r="V53" s="9"/>
      <c r="W53" s="9"/>
      <c r="X53" s="9"/>
      <c r="Y53" s="9"/>
      <c r="Z53" s="9"/>
      <c r="AA53" s="12"/>
      <c r="AB53" s="12"/>
      <c r="AC53" s="9"/>
      <c r="AD53" s="9"/>
      <c r="AE53" s="9"/>
      <c r="AF53" s="9"/>
      <c r="AG53" s="9"/>
      <c r="AH53" s="28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30"/>
    </row>
    <row r="54" spans="2:46" ht="30" customHeight="1">
      <c r="B54" s="9" t="str">
        <f t="shared" si="3"/>
        <v/>
      </c>
      <c r="C54" s="1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4"/>
        <v/>
      </c>
      <c r="T54" s="9" t="str">
        <f t="shared" si="5"/>
        <v/>
      </c>
      <c r="U54" s="9"/>
      <c r="V54" s="9"/>
      <c r="W54" s="9"/>
      <c r="X54" s="9"/>
      <c r="Y54" s="9"/>
      <c r="Z54" s="9"/>
      <c r="AA54" s="12"/>
      <c r="AB54" s="12"/>
      <c r="AC54" s="9"/>
      <c r="AD54" s="9"/>
      <c r="AE54" s="9"/>
      <c r="AF54" s="9"/>
      <c r="AG54" s="9"/>
      <c r="AH54" s="28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30"/>
    </row>
    <row r="55" spans="2:46" ht="30" customHeight="1">
      <c r="B55" s="9" t="str">
        <f t="shared" si="3"/>
        <v/>
      </c>
      <c r="C55" s="1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4"/>
        <v/>
      </c>
      <c r="T55" s="9" t="str">
        <f t="shared" si="5"/>
        <v/>
      </c>
      <c r="U55" s="9"/>
      <c r="V55" s="9"/>
      <c r="W55" s="9"/>
      <c r="X55" s="9"/>
      <c r="Y55" s="9"/>
      <c r="Z55" s="9"/>
      <c r="AA55" s="12"/>
      <c r="AB55" s="12"/>
      <c r="AC55" s="9"/>
      <c r="AD55" s="9"/>
      <c r="AE55" s="9"/>
      <c r="AF55" s="9"/>
      <c r="AG55" s="9"/>
      <c r="AH55" s="28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30"/>
    </row>
    <row r="56" spans="2:46" ht="30" customHeight="1">
      <c r="B56" s="9" t="str">
        <f t="shared" si="3"/>
        <v/>
      </c>
      <c r="C56" s="1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4"/>
        <v/>
      </c>
      <c r="T56" s="9" t="str">
        <f t="shared" si="5"/>
        <v/>
      </c>
      <c r="U56" s="9"/>
      <c r="V56" s="9"/>
      <c r="W56" s="9"/>
      <c r="X56" s="9"/>
      <c r="Y56" s="9"/>
      <c r="Z56" s="9"/>
      <c r="AA56" s="12"/>
      <c r="AB56" s="12"/>
      <c r="AC56" s="9"/>
      <c r="AD56" s="9"/>
      <c r="AE56" s="9"/>
      <c r="AF56" s="9"/>
      <c r="AG56" s="9"/>
      <c r="AH56" s="28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30"/>
    </row>
    <row r="57" spans="2:46" ht="30" customHeight="1">
      <c r="B57" s="9" t="str">
        <f t="shared" si="3"/>
        <v/>
      </c>
      <c r="C57" s="1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4"/>
        <v/>
      </c>
      <c r="T57" s="9" t="str">
        <f t="shared" si="5"/>
        <v/>
      </c>
      <c r="U57" s="9"/>
      <c r="V57" s="9"/>
      <c r="W57" s="9"/>
      <c r="X57" s="9"/>
      <c r="Y57" s="9"/>
      <c r="Z57" s="9"/>
      <c r="AA57" s="12"/>
      <c r="AB57" s="12"/>
      <c r="AC57" s="9"/>
      <c r="AD57" s="9"/>
      <c r="AE57" s="9"/>
      <c r="AF57" s="9"/>
      <c r="AG57" s="9"/>
      <c r="AH57" s="28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30"/>
    </row>
    <row r="58" spans="2:46" ht="30" customHeight="1">
      <c r="B58" s="9" t="str">
        <f t="shared" si="3"/>
        <v/>
      </c>
      <c r="C58" s="1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4"/>
        <v/>
      </c>
      <c r="T58" s="9" t="str">
        <f t="shared" si="5"/>
        <v/>
      </c>
      <c r="U58" s="9"/>
      <c r="V58" s="9"/>
      <c r="W58" s="9"/>
      <c r="X58" s="9"/>
      <c r="Y58" s="9"/>
      <c r="Z58" s="9"/>
      <c r="AA58" s="12"/>
      <c r="AB58" s="12"/>
      <c r="AC58" s="9"/>
      <c r="AD58" s="9"/>
      <c r="AE58" s="9"/>
      <c r="AF58" s="9"/>
      <c r="AG58" s="9"/>
      <c r="AH58" s="28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30"/>
    </row>
    <row r="59" spans="2:46" ht="30" customHeight="1">
      <c r="B59" s="9" t="str">
        <f t="shared" si="3"/>
        <v/>
      </c>
      <c r="C59" s="1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4"/>
        <v/>
      </c>
      <c r="T59" s="9" t="str">
        <f t="shared" si="5"/>
        <v/>
      </c>
      <c r="U59" s="9"/>
      <c r="V59" s="9"/>
      <c r="W59" s="9"/>
      <c r="X59" s="9"/>
      <c r="Y59" s="9"/>
      <c r="Z59" s="9"/>
      <c r="AA59" s="12"/>
      <c r="AB59" s="12"/>
      <c r="AC59" s="9"/>
      <c r="AD59" s="9"/>
      <c r="AE59" s="9"/>
      <c r="AF59" s="9"/>
      <c r="AG59" s="9"/>
      <c r="AH59" s="28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30"/>
    </row>
    <row r="60" spans="2:46" ht="30" customHeight="1">
      <c r="B60" s="9" t="str">
        <f t="shared" si="3"/>
        <v/>
      </c>
      <c r="C60" s="1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4"/>
        <v/>
      </c>
      <c r="T60" s="9" t="str">
        <f t="shared" si="5"/>
        <v/>
      </c>
      <c r="U60" s="9"/>
      <c r="V60" s="9"/>
      <c r="W60" s="9"/>
      <c r="X60" s="9"/>
      <c r="Y60" s="9"/>
      <c r="Z60" s="9"/>
      <c r="AA60" s="12"/>
      <c r="AB60" s="12"/>
      <c r="AC60" s="9"/>
      <c r="AD60" s="9"/>
      <c r="AE60" s="9"/>
      <c r="AF60" s="9"/>
      <c r="AG60" s="9"/>
      <c r="AH60" s="28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30"/>
    </row>
    <row r="61" spans="2:46" ht="30" customHeight="1">
      <c r="B61" s="9" t="str">
        <f t="shared" si="3"/>
        <v/>
      </c>
      <c r="C61" s="1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4"/>
        <v/>
      </c>
      <c r="T61" s="9" t="str">
        <f t="shared" si="5"/>
        <v/>
      </c>
      <c r="U61" s="9"/>
      <c r="V61" s="9"/>
      <c r="W61" s="9"/>
      <c r="X61" s="9"/>
      <c r="Y61" s="9"/>
      <c r="Z61" s="9"/>
      <c r="AA61" s="12"/>
      <c r="AB61" s="12"/>
      <c r="AC61" s="9"/>
      <c r="AD61" s="9"/>
      <c r="AE61" s="9"/>
      <c r="AF61" s="9"/>
      <c r="AG61" s="9"/>
      <c r="AH61" s="28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30"/>
    </row>
    <row r="62" spans="2:46" ht="30" customHeight="1">
      <c r="B62" s="9" t="str">
        <f t="shared" si="3"/>
        <v/>
      </c>
      <c r="C62" s="1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4"/>
        <v/>
      </c>
      <c r="T62" s="9" t="str">
        <f t="shared" si="5"/>
        <v/>
      </c>
      <c r="U62" s="9"/>
      <c r="V62" s="9"/>
      <c r="W62" s="9"/>
      <c r="X62" s="9"/>
      <c r="Y62" s="9"/>
      <c r="Z62" s="9"/>
      <c r="AA62" s="12"/>
      <c r="AB62" s="12"/>
      <c r="AC62" s="9"/>
      <c r="AD62" s="9"/>
      <c r="AE62" s="9"/>
      <c r="AF62" s="9"/>
      <c r="AG62" s="9"/>
      <c r="AH62" s="28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30"/>
    </row>
    <row r="63" spans="2:46" ht="30" customHeight="1">
      <c r="B63" s="9" t="str">
        <f t="shared" si="3"/>
        <v/>
      </c>
      <c r="C63" s="1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4"/>
        <v/>
      </c>
      <c r="T63" s="9" t="str">
        <f t="shared" si="5"/>
        <v/>
      </c>
      <c r="U63" s="9"/>
      <c r="V63" s="9"/>
      <c r="W63" s="9"/>
      <c r="X63" s="9"/>
      <c r="Y63" s="9"/>
      <c r="Z63" s="9"/>
      <c r="AA63" s="12"/>
      <c r="AB63" s="12"/>
      <c r="AC63" s="9"/>
      <c r="AD63" s="9"/>
      <c r="AE63" s="9"/>
      <c r="AF63" s="9"/>
      <c r="AG63" s="9"/>
      <c r="AH63" s="28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30"/>
    </row>
    <row r="64" spans="2:46" ht="30" customHeight="1">
      <c r="B64" s="9" t="str">
        <f t="shared" si="3"/>
        <v/>
      </c>
      <c r="C64" s="1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4"/>
        <v/>
      </c>
      <c r="T64" s="9" t="str">
        <f t="shared" si="5"/>
        <v/>
      </c>
      <c r="U64" s="9"/>
      <c r="V64" s="9"/>
      <c r="W64" s="9"/>
      <c r="X64" s="9"/>
      <c r="Y64" s="9"/>
      <c r="Z64" s="9"/>
      <c r="AA64" s="12"/>
      <c r="AB64" s="12"/>
      <c r="AC64" s="9"/>
      <c r="AD64" s="9"/>
      <c r="AE64" s="9"/>
      <c r="AF64" s="9"/>
      <c r="AG64" s="9"/>
      <c r="AH64" s="28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30"/>
    </row>
    <row r="65" spans="2:46" ht="30" customHeight="1">
      <c r="B65" s="9" t="str">
        <f t="shared" si="3"/>
        <v/>
      </c>
      <c r="C65" s="1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4"/>
        <v/>
      </c>
      <c r="T65" s="9" t="str">
        <f t="shared" si="5"/>
        <v/>
      </c>
      <c r="U65" s="9"/>
      <c r="V65" s="9"/>
      <c r="W65" s="9"/>
      <c r="X65" s="9"/>
      <c r="Y65" s="9"/>
      <c r="Z65" s="9"/>
      <c r="AA65" s="12"/>
      <c r="AB65" s="12"/>
      <c r="AC65" s="9"/>
      <c r="AD65" s="9"/>
      <c r="AE65" s="9"/>
      <c r="AF65" s="9"/>
      <c r="AG65" s="9"/>
      <c r="AH65" s="28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30"/>
    </row>
    <row r="66" spans="2:46" ht="30" customHeight="1">
      <c r="B66" s="9" t="str">
        <f t="shared" si="3"/>
        <v/>
      </c>
      <c r="C66" s="1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4"/>
        <v/>
      </c>
      <c r="T66" s="9" t="str">
        <f t="shared" si="5"/>
        <v/>
      </c>
      <c r="U66" s="9"/>
      <c r="V66" s="9"/>
      <c r="W66" s="9"/>
      <c r="X66" s="9"/>
      <c r="Y66" s="9"/>
      <c r="Z66" s="9"/>
      <c r="AA66" s="12"/>
      <c r="AB66" s="12"/>
      <c r="AC66" s="9"/>
      <c r="AD66" s="9"/>
      <c r="AE66" s="9"/>
      <c r="AF66" s="9"/>
      <c r="AG66" s="9"/>
      <c r="AH66" s="28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30"/>
    </row>
    <row r="67" spans="2:46" ht="30" customHeight="1">
      <c r="B67" s="9" t="str">
        <f t="shared" si="3"/>
        <v/>
      </c>
      <c r="C67" s="1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4"/>
        <v/>
      </c>
      <c r="T67" s="9" t="str">
        <f t="shared" si="5"/>
        <v/>
      </c>
      <c r="U67" s="9"/>
      <c r="V67" s="9"/>
      <c r="W67" s="9"/>
      <c r="X67" s="9"/>
      <c r="Y67" s="9"/>
      <c r="Z67" s="9"/>
      <c r="AA67" s="12"/>
      <c r="AB67" s="12"/>
      <c r="AC67" s="9"/>
      <c r="AD67" s="9"/>
      <c r="AE67" s="9"/>
      <c r="AF67" s="9"/>
      <c r="AG67" s="9"/>
      <c r="AH67" s="28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30"/>
    </row>
    <row r="68" spans="2:46" ht="30" customHeight="1">
      <c r="B68" s="9" t="str">
        <f t="shared" si="3"/>
        <v/>
      </c>
      <c r="C68" s="1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4"/>
        <v/>
      </c>
      <c r="T68" s="9" t="str">
        <f t="shared" si="5"/>
        <v/>
      </c>
      <c r="U68" s="9"/>
      <c r="V68" s="9"/>
      <c r="W68" s="9"/>
      <c r="X68" s="9"/>
      <c r="Y68" s="9"/>
      <c r="Z68" s="9"/>
      <c r="AA68" s="12"/>
      <c r="AB68" s="12"/>
      <c r="AC68" s="9"/>
      <c r="AD68" s="9"/>
      <c r="AE68" s="9"/>
      <c r="AF68" s="9"/>
      <c r="AG68" s="9"/>
      <c r="AH68" s="28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30"/>
    </row>
    <row r="69" spans="2:46" ht="30" customHeight="1">
      <c r="B69" s="9" t="str">
        <f t="shared" si="3"/>
        <v/>
      </c>
      <c r="C69" s="1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4"/>
        <v/>
      </c>
      <c r="T69" s="9" t="str">
        <f t="shared" si="5"/>
        <v/>
      </c>
      <c r="U69" s="9"/>
      <c r="V69" s="9"/>
      <c r="W69" s="9"/>
      <c r="X69" s="9"/>
      <c r="Y69" s="9"/>
      <c r="Z69" s="9"/>
      <c r="AA69" s="12"/>
      <c r="AB69" s="12"/>
      <c r="AC69" s="9"/>
      <c r="AD69" s="9"/>
      <c r="AE69" s="9"/>
      <c r="AF69" s="9"/>
      <c r="AG69" s="9"/>
      <c r="AH69" s="28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30"/>
    </row>
    <row r="70" spans="2:46" ht="30" customHeight="1">
      <c r="B70" s="9" t="str">
        <f t="shared" si="3"/>
        <v/>
      </c>
      <c r="C70" s="1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4"/>
        <v/>
      </c>
      <c r="T70" s="9" t="str">
        <f t="shared" si="5"/>
        <v/>
      </c>
      <c r="U70" s="9"/>
      <c r="V70" s="9"/>
      <c r="W70" s="9"/>
      <c r="X70" s="9"/>
      <c r="Y70" s="9"/>
      <c r="Z70" s="9"/>
      <c r="AA70" s="12"/>
      <c r="AB70" s="12"/>
      <c r="AC70" s="9"/>
      <c r="AD70" s="9"/>
      <c r="AE70" s="9"/>
      <c r="AF70" s="9"/>
      <c r="AG70" s="9"/>
      <c r="AH70" s="28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30"/>
    </row>
    <row r="71" spans="2:46" ht="30" customHeight="1">
      <c r="B71" s="9" t="str">
        <f t="shared" si="3"/>
        <v/>
      </c>
      <c r="C71" s="1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4"/>
        <v/>
      </c>
      <c r="T71" s="9" t="str">
        <f t="shared" si="5"/>
        <v/>
      </c>
      <c r="U71" s="9"/>
      <c r="V71" s="9"/>
      <c r="W71" s="9"/>
      <c r="X71" s="9"/>
      <c r="Y71" s="9"/>
      <c r="Z71" s="9"/>
      <c r="AA71" s="12"/>
      <c r="AB71" s="12"/>
      <c r="AC71" s="9"/>
      <c r="AD71" s="9"/>
      <c r="AE71" s="9"/>
      <c r="AF71" s="9"/>
      <c r="AG71" s="9"/>
      <c r="AH71" s="28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30"/>
    </row>
    <row r="72" spans="2:46" ht="30" customHeight="1">
      <c r="B72" s="9" t="str">
        <f t="shared" si="3"/>
        <v/>
      </c>
      <c r="C72" s="1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4"/>
        <v/>
      </c>
      <c r="T72" s="9" t="str">
        <f t="shared" si="5"/>
        <v/>
      </c>
      <c r="U72" s="9"/>
      <c r="V72" s="9"/>
      <c r="W72" s="9"/>
      <c r="X72" s="9"/>
      <c r="Y72" s="9"/>
      <c r="Z72" s="9"/>
      <c r="AA72" s="12"/>
      <c r="AB72" s="12"/>
      <c r="AC72" s="9"/>
      <c r="AD72" s="9"/>
      <c r="AE72" s="9"/>
      <c r="AF72" s="9"/>
      <c r="AG72" s="9"/>
      <c r="AH72" s="28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30"/>
    </row>
    <row r="73" spans="2:46" ht="30" customHeight="1">
      <c r="B73" s="9" t="str">
        <f t="shared" si="3"/>
        <v/>
      </c>
      <c r="C73" s="1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4"/>
        <v/>
      </c>
      <c r="T73" s="9" t="str">
        <f t="shared" si="5"/>
        <v/>
      </c>
      <c r="U73" s="9"/>
      <c r="V73" s="9"/>
      <c r="W73" s="9"/>
      <c r="X73" s="9"/>
      <c r="Y73" s="9"/>
      <c r="Z73" s="9"/>
      <c r="AA73" s="12"/>
      <c r="AB73" s="12"/>
      <c r="AC73" s="9"/>
      <c r="AD73" s="9"/>
      <c r="AE73" s="9"/>
      <c r="AF73" s="9"/>
      <c r="AG73" s="9"/>
      <c r="AH73" s="28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30"/>
    </row>
    <row r="74" spans="2:46" ht="30" customHeight="1">
      <c r="B74" s="9" t="str">
        <f t="shared" si="3"/>
        <v/>
      </c>
      <c r="C74" s="1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4"/>
        <v/>
      </c>
      <c r="T74" s="9" t="str">
        <f t="shared" si="5"/>
        <v/>
      </c>
      <c r="U74" s="9"/>
      <c r="V74" s="9"/>
      <c r="W74" s="9"/>
      <c r="X74" s="9"/>
      <c r="Y74" s="9"/>
      <c r="Z74" s="9"/>
      <c r="AA74" s="12"/>
      <c r="AB74" s="12"/>
      <c r="AC74" s="9"/>
      <c r="AD74" s="9"/>
      <c r="AE74" s="9"/>
      <c r="AF74" s="9"/>
      <c r="AG74" s="9"/>
      <c r="AH74" s="28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30"/>
    </row>
    <row r="75" spans="2:46" ht="30" customHeight="1">
      <c r="B75" s="9" t="str">
        <f t="shared" si="3"/>
        <v/>
      </c>
      <c r="C75" s="1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4"/>
        <v/>
      </c>
      <c r="T75" s="9" t="str">
        <f t="shared" si="5"/>
        <v/>
      </c>
      <c r="U75" s="9"/>
      <c r="V75" s="9"/>
      <c r="W75" s="9"/>
      <c r="X75" s="9"/>
      <c r="Y75" s="9"/>
      <c r="Z75" s="9"/>
      <c r="AA75" s="12"/>
      <c r="AB75" s="12"/>
      <c r="AC75" s="9"/>
      <c r="AD75" s="9"/>
      <c r="AE75" s="9"/>
      <c r="AF75" s="9"/>
      <c r="AG75" s="9"/>
      <c r="AH75" s="28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30"/>
    </row>
    <row r="76" spans="2:46" ht="30" customHeight="1">
      <c r="B76" s="9" t="str">
        <f t="shared" si="3"/>
        <v/>
      </c>
      <c r="C76" s="1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si="4"/>
        <v/>
      </c>
      <c r="T76" s="9" t="str">
        <f t="shared" si="5"/>
        <v/>
      </c>
      <c r="U76" s="9"/>
      <c r="V76" s="9"/>
      <c r="W76" s="9"/>
      <c r="X76" s="9"/>
      <c r="Y76" s="9"/>
      <c r="Z76" s="9"/>
      <c r="AA76" s="12"/>
      <c r="AB76" s="12"/>
      <c r="AC76" s="9"/>
      <c r="AD76" s="9"/>
      <c r="AE76" s="9"/>
      <c r="AF76" s="9"/>
      <c r="AG76" s="9"/>
      <c r="AH76" s="28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30"/>
    </row>
    <row r="77" spans="2:46" ht="30" customHeight="1">
      <c r="B77" s="9" t="str">
        <f t="shared" si="3"/>
        <v/>
      </c>
      <c r="C77" s="1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/>
      </c>
      <c r="T77" s="9" t="str">
        <f t="shared" si="5"/>
        <v/>
      </c>
      <c r="U77" s="9"/>
      <c r="V77" s="9"/>
      <c r="W77" s="9"/>
      <c r="X77" s="9"/>
      <c r="Y77" s="9"/>
      <c r="Z77" s="9"/>
      <c r="AA77" s="12"/>
      <c r="AB77" s="12"/>
      <c r="AC77" s="9"/>
      <c r="AD77" s="9"/>
      <c r="AE77" s="9"/>
      <c r="AF77" s="9"/>
      <c r="AG77" s="9"/>
      <c r="AH77" s="28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30"/>
    </row>
    <row r="78" spans="2:46" ht="30" customHeight="1">
      <c r="B78" s="9" t="str">
        <f t="shared" si="3"/>
        <v/>
      </c>
      <c r="C78" s="1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/>
      </c>
      <c r="T78" s="9" t="str">
        <f t="shared" si="5"/>
        <v/>
      </c>
      <c r="U78" s="9"/>
      <c r="V78" s="9"/>
      <c r="W78" s="9"/>
      <c r="X78" s="9"/>
      <c r="Y78" s="9"/>
      <c r="Z78" s="9"/>
      <c r="AA78" s="12"/>
      <c r="AB78" s="12"/>
      <c r="AC78" s="9"/>
      <c r="AD78" s="9"/>
      <c r="AE78" s="9"/>
      <c r="AF78" s="9"/>
      <c r="AG78" s="9"/>
      <c r="AH78" s="28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30"/>
    </row>
    <row r="79" spans="2:46" ht="30" customHeight="1">
      <c r="B79" s="9" t="str">
        <f t="shared" ref="B79:B110" si="6">IF(C79="","","SC-"&amp;TEXT(ROW()-12,"000"))</f>
        <v/>
      </c>
      <c r="C79" s="1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ref="S79:S110" si="7">IF(OR(Q79="",R79=""),"",Q79*R79)</f>
        <v/>
      </c>
      <c r="T79" s="9" t="str">
        <f t="shared" ref="T79:T110" si="8">IF(S79="","",IF(S79&gt;=17,"Crítico",IF(S79&gt;=10,"Alto",IF(S79&gt;=5,"Medio","Bajo"))))</f>
        <v/>
      </c>
      <c r="U79" s="9"/>
      <c r="V79" s="9"/>
      <c r="W79" s="9"/>
      <c r="X79" s="9"/>
      <c r="Y79" s="9"/>
      <c r="Z79" s="9"/>
      <c r="AA79" s="12"/>
      <c r="AB79" s="12"/>
      <c r="AC79" s="9"/>
      <c r="AD79" s="9"/>
      <c r="AE79" s="9"/>
      <c r="AF79" s="9"/>
      <c r="AG79" s="9"/>
      <c r="AH79" s="28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30"/>
    </row>
    <row r="80" spans="2:46" ht="30" customHeight="1">
      <c r="B80" s="9" t="str">
        <f t="shared" si="6"/>
        <v/>
      </c>
      <c r="C80" s="1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7"/>
        <v/>
      </c>
      <c r="T80" s="9" t="str">
        <f t="shared" si="8"/>
        <v/>
      </c>
      <c r="U80" s="9"/>
      <c r="V80" s="9"/>
      <c r="W80" s="9"/>
      <c r="X80" s="9"/>
      <c r="Y80" s="9"/>
      <c r="Z80" s="9"/>
      <c r="AA80" s="12"/>
      <c r="AB80" s="12"/>
      <c r="AC80" s="9"/>
      <c r="AD80" s="9"/>
      <c r="AE80" s="9"/>
      <c r="AF80" s="9"/>
      <c r="AG80" s="9"/>
      <c r="AH80" s="28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30"/>
    </row>
    <row r="81" spans="2:46" ht="30" customHeight="1">
      <c r="B81" s="9" t="str">
        <f t="shared" si="6"/>
        <v/>
      </c>
      <c r="C81" s="1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7"/>
        <v/>
      </c>
      <c r="T81" s="9" t="str">
        <f t="shared" si="8"/>
        <v/>
      </c>
      <c r="U81" s="9"/>
      <c r="V81" s="9"/>
      <c r="W81" s="9"/>
      <c r="X81" s="9"/>
      <c r="Y81" s="9"/>
      <c r="Z81" s="9"/>
      <c r="AA81" s="12"/>
      <c r="AB81" s="12"/>
      <c r="AC81" s="9"/>
      <c r="AD81" s="9"/>
      <c r="AE81" s="9"/>
      <c r="AF81" s="9"/>
      <c r="AG81" s="9"/>
      <c r="AH81" s="28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30"/>
    </row>
    <row r="82" spans="2:46" ht="30" customHeight="1">
      <c r="B82" s="9" t="str">
        <f t="shared" si="6"/>
        <v/>
      </c>
      <c r="C82" s="1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7"/>
        <v/>
      </c>
      <c r="T82" s="9" t="str">
        <f t="shared" si="8"/>
        <v/>
      </c>
      <c r="U82" s="9"/>
      <c r="V82" s="9"/>
      <c r="W82" s="9"/>
      <c r="X82" s="9"/>
      <c r="Y82" s="9"/>
      <c r="Z82" s="9"/>
      <c r="AA82" s="12"/>
      <c r="AB82" s="12"/>
      <c r="AC82" s="9"/>
      <c r="AD82" s="9"/>
      <c r="AE82" s="9"/>
      <c r="AF82" s="9"/>
      <c r="AG82" s="9"/>
      <c r="AH82" s="28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30"/>
    </row>
    <row r="83" spans="2:46" ht="30" customHeight="1">
      <c r="B83" s="9" t="str">
        <f t="shared" si="6"/>
        <v/>
      </c>
      <c r="C83" s="1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7"/>
        <v/>
      </c>
      <c r="T83" s="9" t="str">
        <f t="shared" si="8"/>
        <v/>
      </c>
      <c r="U83" s="9"/>
      <c r="V83" s="9"/>
      <c r="W83" s="9"/>
      <c r="X83" s="9"/>
      <c r="Y83" s="9"/>
      <c r="Z83" s="9"/>
      <c r="AA83" s="12"/>
      <c r="AB83" s="12"/>
      <c r="AC83" s="9"/>
      <c r="AD83" s="9"/>
      <c r="AE83" s="9"/>
      <c r="AF83" s="9"/>
      <c r="AG83" s="9"/>
      <c r="AH83" s="28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30"/>
    </row>
    <row r="84" spans="2:46" ht="30" customHeight="1">
      <c r="B84" s="9" t="str">
        <f t="shared" si="6"/>
        <v/>
      </c>
      <c r="C84" s="1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7"/>
        <v/>
      </c>
      <c r="T84" s="9" t="str">
        <f t="shared" si="8"/>
        <v/>
      </c>
      <c r="U84" s="9"/>
      <c r="V84" s="9"/>
      <c r="W84" s="9"/>
      <c r="X84" s="9"/>
      <c r="Y84" s="9"/>
      <c r="Z84" s="9"/>
      <c r="AA84" s="12"/>
      <c r="AB84" s="12"/>
      <c r="AC84" s="9"/>
      <c r="AD84" s="9"/>
      <c r="AE84" s="9"/>
      <c r="AF84" s="9"/>
      <c r="AG84" s="9"/>
      <c r="AH84" s="28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30"/>
    </row>
    <row r="85" spans="2:46" ht="30" customHeight="1">
      <c r="B85" s="9" t="str">
        <f t="shared" si="6"/>
        <v/>
      </c>
      <c r="C85" s="1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7"/>
        <v/>
      </c>
      <c r="T85" s="9" t="str">
        <f t="shared" si="8"/>
        <v/>
      </c>
      <c r="U85" s="9"/>
      <c r="V85" s="9"/>
      <c r="W85" s="9"/>
      <c r="X85" s="9"/>
      <c r="Y85" s="9"/>
      <c r="Z85" s="9"/>
      <c r="AA85" s="12"/>
      <c r="AB85" s="12"/>
      <c r="AC85" s="9"/>
      <c r="AD85" s="9"/>
      <c r="AE85" s="9"/>
      <c r="AF85" s="9"/>
      <c r="AG85" s="9"/>
      <c r="AH85" s="28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30"/>
    </row>
    <row r="86" spans="2:46" ht="30" customHeight="1">
      <c r="B86" s="9" t="str">
        <f t="shared" si="6"/>
        <v/>
      </c>
      <c r="C86" s="1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7"/>
        <v/>
      </c>
      <c r="T86" s="9" t="str">
        <f t="shared" si="8"/>
        <v/>
      </c>
      <c r="U86" s="9"/>
      <c r="V86" s="9"/>
      <c r="W86" s="9"/>
      <c r="X86" s="9"/>
      <c r="Y86" s="9"/>
      <c r="Z86" s="9"/>
      <c r="AA86" s="12"/>
      <c r="AB86" s="12"/>
      <c r="AC86" s="9"/>
      <c r="AD86" s="9"/>
      <c r="AE86" s="9"/>
      <c r="AF86" s="9"/>
      <c r="AG86" s="9"/>
      <c r="AH86" s="28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30"/>
    </row>
    <row r="87" spans="2:46" ht="30" customHeight="1">
      <c r="B87" s="9" t="str">
        <f t="shared" si="6"/>
        <v/>
      </c>
      <c r="C87" s="1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7"/>
        <v/>
      </c>
      <c r="T87" s="9" t="str">
        <f t="shared" si="8"/>
        <v/>
      </c>
      <c r="U87" s="9"/>
      <c r="V87" s="9"/>
      <c r="W87" s="9"/>
      <c r="X87" s="9"/>
      <c r="Y87" s="9"/>
      <c r="Z87" s="9"/>
      <c r="AA87" s="12"/>
      <c r="AB87" s="12"/>
      <c r="AC87" s="9"/>
      <c r="AD87" s="9"/>
      <c r="AE87" s="9"/>
      <c r="AF87" s="9"/>
      <c r="AG87" s="9"/>
      <c r="AH87" s="28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30"/>
    </row>
    <row r="88" spans="2:46" ht="30" customHeight="1">
      <c r="B88" s="9" t="str">
        <f t="shared" si="6"/>
        <v/>
      </c>
      <c r="C88" s="1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7"/>
        <v/>
      </c>
      <c r="T88" s="9" t="str">
        <f t="shared" si="8"/>
        <v/>
      </c>
      <c r="U88" s="9"/>
      <c r="V88" s="9"/>
      <c r="W88" s="9"/>
      <c r="X88" s="9"/>
      <c r="Y88" s="9"/>
      <c r="Z88" s="9"/>
      <c r="AA88" s="12"/>
      <c r="AB88" s="12"/>
      <c r="AC88" s="9"/>
      <c r="AD88" s="9"/>
      <c r="AE88" s="9"/>
      <c r="AF88" s="9"/>
      <c r="AG88" s="9"/>
      <c r="AH88" s="28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30"/>
    </row>
    <row r="89" spans="2:46" ht="30" customHeight="1">
      <c r="B89" s="9" t="str">
        <f t="shared" si="6"/>
        <v/>
      </c>
      <c r="C89" s="1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7"/>
        <v/>
      </c>
      <c r="T89" s="9" t="str">
        <f t="shared" si="8"/>
        <v/>
      </c>
      <c r="U89" s="9"/>
      <c r="V89" s="9"/>
      <c r="W89" s="9"/>
      <c r="X89" s="9"/>
      <c r="Y89" s="9"/>
      <c r="Z89" s="9"/>
      <c r="AA89" s="12"/>
      <c r="AB89" s="12"/>
      <c r="AC89" s="9"/>
      <c r="AD89" s="9"/>
      <c r="AE89" s="9"/>
      <c r="AF89" s="9"/>
      <c r="AG89" s="9"/>
      <c r="AH89" s="28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30"/>
    </row>
    <row r="90" spans="2:46" ht="30" customHeight="1">
      <c r="B90" s="9" t="str">
        <f t="shared" si="6"/>
        <v/>
      </c>
      <c r="C90" s="1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7"/>
        <v/>
      </c>
      <c r="T90" s="9" t="str">
        <f t="shared" si="8"/>
        <v/>
      </c>
      <c r="U90" s="9"/>
      <c r="V90" s="9"/>
      <c r="W90" s="9"/>
      <c r="X90" s="9"/>
      <c r="Y90" s="9"/>
      <c r="Z90" s="9"/>
      <c r="AA90" s="12"/>
      <c r="AB90" s="12"/>
      <c r="AC90" s="9"/>
      <c r="AD90" s="9"/>
      <c r="AE90" s="9"/>
      <c r="AF90" s="9"/>
      <c r="AG90" s="9"/>
      <c r="AH90" s="28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30"/>
    </row>
    <row r="91" spans="2:46" ht="30" customHeight="1">
      <c r="B91" s="9" t="str">
        <f t="shared" si="6"/>
        <v/>
      </c>
      <c r="C91" s="1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7"/>
        <v/>
      </c>
      <c r="T91" s="9" t="str">
        <f t="shared" si="8"/>
        <v/>
      </c>
      <c r="U91" s="9"/>
      <c r="V91" s="9"/>
      <c r="W91" s="9"/>
      <c r="X91" s="9"/>
      <c r="Y91" s="9"/>
      <c r="Z91" s="9"/>
      <c r="AA91" s="12"/>
      <c r="AB91" s="12"/>
      <c r="AC91" s="9"/>
      <c r="AD91" s="9"/>
      <c r="AE91" s="9"/>
      <c r="AF91" s="9"/>
      <c r="AG91" s="9"/>
      <c r="AH91" s="28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30"/>
    </row>
    <row r="92" spans="2:46" ht="30" customHeight="1">
      <c r="B92" s="9" t="str">
        <f t="shared" si="6"/>
        <v/>
      </c>
      <c r="C92" s="1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7"/>
        <v/>
      </c>
      <c r="T92" s="9" t="str">
        <f t="shared" si="8"/>
        <v/>
      </c>
      <c r="U92" s="9"/>
      <c r="V92" s="9"/>
      <c r="W92" s="9"/>
      <c r="X92" s="9"/>
      <c r="Y92" s="9"/>
      <c r="Z92" s="9"/>
      <c r="AA92" s="12"/>
      <c r="AB92" s="12"/>
      <c r="AC92" s="9"/>
      <c r="AD92" s="9"/>
      <c r="AE92" s="9"/>
      <c r="AF92" s="9"/>
      <c r="AG92" s="9"/>
      <c r="AH92" s="28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30"/>
    </row>
    <row r="93" spans="2:46" ht="30" customHeight="1">
      <c r="B93" s="9" t="str">
        <f t="shared" si="6"/>
        <v/>
      </c>
      <c r="C93" s="1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7"/>
        <v/>
      </c>
      <c r="T93" s="9" t="str">
        <f t="shared" si="8"/>
        <v/>
      </c>
      <c r="U93" s="9"/>
      <c r="V93" s="9"/>
      <c r="W93" s="9"/>
      <c r="X93" s="9"/>
      <c r="Y93" s="9"/>
      <c r="Z93" s="9"/>
      <c r="AA93" s="12"/>
      <c r="AB93" s="12"/>
      <c r="AC93" s="9"/>
      <c r="AD93" s="9"/>
      <c r="AE93" s="9"/>
      <c r="AF93" s="9"/>
      <c r="AG93" s="9"/>
      <c r="AH93" s="28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30"/>
    </row>
    <row r="94" spans="2:46" ht="30" customHeight="1">
      <c r="B94" s="9" t="str">
        <f t="shared" si="6"/>
        <v/>
      </c>
      <c r="C94" s="1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7"/>
        <v/>
      </c>
      <c r="T94" s="9" t="str">
        <f t="shared" si="8"/>
        <v/>
      </c>
      <c r="U94" s="9"/>
      <c r="V94" s="9"/>
      <c r="W94" s="9"/>
      <c r="X94" s="9"/>
      <c r="Y94" s="9"/>
      <c r="Z94" s="9"/>
      <c r="AA94" s="12"/>
      <c r="AB94" s="12"/>
      <c r="AC94" s="9"/>
      <c r="AD94" s="9"/>
      <c r="AE94" s="9"/>
      <c r="AF94" s="9"/>
      <c r="AG94" s="9"/>
      <c r="AH94" s="28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30"/>
    </row>
    <row r="95" spans="2:46" ht="30" customHeight="1">
      <c r="B95" s="9" t="str">
        <f t="shared" si="6"/>
        <v/>
      </c>
      <c r="C95" s="1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7"/>
        <v/>
      </c>
      <c r="T95" s="9" t="str">
        <f t="shared" si="8"/>
        <v/>
      </c>
      <c r="U95" s="9"/>
      <c r="V95" s="9"/>
      <c r="W95" s="9"/>
      <c r="X95" s="9"/>
      <c r="Y95" s="9"/>
      <c r="Z95" s="9"/>
      <c r="AA95" s="12"/>
      <c r="AB95" s="12"/>
      <c r="AC95" s="9"/>
      <c r="AD95" s="9"/>
      <c r="AE95" s="9"/>
      <c r="AF95" s="9"/>
      <c r="AG95" s="9"/>
      <c r="AH95" s="28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30"/>
    </row>
    <row r="96" spans="2:46" ht="30" customHeight="1">
      <c r="B96" s="9" t="str">
        <f t="shared" si="6"/>
        <v/>
      </c>
      <c r="C96" s="1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7"/>
        <v/>
      </c>
      <c r="T96" s="9" t="str">
        <f t="shared" si="8"/>
        <v/>
      </c>
      <c r="U96" s="9"/>
      <c r="V96" s="9"/>
      <c r="W96" s="9"/>
      <c r="X96" s="9"/>
      <c r="Y96" s="9"/>
      <c r="Z96" s="9"/>
      <c r="AA96" s="12"/>
      <c r="AB96" s="12"/>
      <c r="AC96" s="9"/>
      <c r="AD96" s="9"/>
      <c r="AE96" s="9"/>
      <c r="AF96" s="9"/>
      <c r="AG96" s="9"/>
      <c r="AH96" s="28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30"/>
    </row>
    <row r="97" spans="2:46" ht="30" customHeight="1">
      <c r="B97" s="9" t="str">
        <f t="shared" si="6"/>
        <v/>
      </c>
      <c r="C97" s="1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7"/>
        <v/>
      </c>
      <c r="T97" s="9" t="str">
        <f t="shared" si="8"/>
        <v/>
      </c>
      <c r="U97" s="9"/>
      <c r="V97" s="9"/>
      <c r="W97" s="9"/>
      <c r="X97" s="9"/>
      <c r="Y97" s="9"/>
      <c r="Z97" s="9"/>
      <c r="AA97" s="12"/>
      <c r="AB97" s="12"/>
      <c r="AC97" s="9"/>
      <c r="AD97" s="9"/>
      <c r="AE97" s="9"/>
      <c r="AF97" s="9"/>
      <c r="AG97" s="9"/>
      <c r="AH97" s="28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30"/>
    </row>
    <row r="98" spans="2:46" ht="30" customHeight="1">
      <c r="B98" s="9" t="str">
        <f t="shared" si="6"/>
        <v/>
      </c>
      <c r="C98" s="1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7"/>
        <v/>
      </c>
      <c r="T98" s="9" t="str">
        <f t="shared" si="8"/>
        <v/>
      </c>
      <c r="U98" s="9"/>
      <c r="V98" s="9"/>
      <c r="W98" s="9"/>
      <c r="X98" s="9"/>
      <c r="Y98" s="9"/>
      <c r="Z98" s="9"/>
      <c r="AA98" s="12"/>
      <c r="AB98" s="12"/>
      <c r="AC98" s="9"/>
      <c r="AD98" s="9"/>
      <c r="AE98" s="9"/>
      <c r="AF98" s="9"/>
      <c r="AG98" s="9"/>
      <c r="AH98" s="28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30"/>
    </row>
    <row r="99" spans="2:46" ht="30" customHeight="1">
      <c r="B99" s="9" t="str">
        <f t="shared" si="6"/>
        <v/>
      </c>
      <c r="C99" s="1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7"/>
        <v/>
      </c>
      <c r="T99" s="9" t="str">
        <f t="shared" si="8"/>
        <v/>
      </c>
      <c r="U99" s="9"/>
      <c r="V99" s="9"/>
      <c r="W99" s="9"/>
      <c r="X99" s="9"/>
      <c r="Y99" s="9"/>
      <c r="Z99" s="9"/>
      <c r="AA99" s="12"/>
      <c r="AB99" s="12"/>
      <c r="AC99" s="9"/>
      <c r="AD99" s="9"/>
      <c r="AE99" s="9"/>
      <c r="AF99" s="9"/>
      <c r="AG99" s="9"/>
      <c r="AH99" s="28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30"/>
    </row>
    <row r="100" spans="2:46" ht="30" customHeight="1">
      <c r="B100" s="9" t="str">
        <f t="shared" si="6"/>
        <v/>
      </c>
      <c r="C100" s="1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7"/>
        <v/>
      </c>
      <c r="T100" s="9" t="str">
        <f t="shared" si="8"/>
        <v/>
      </c>
      <c r="U100" s="9"/>
      <c r="V100" s="9"/>
      <c r="W100" s="9"/>
      <c r="X100" s="9"/>
      <c r="Y100" s="9"/>
      <c r="Z100" s="9"/>
      <c r="AA100" s="12"/>
      <c r="AB100" s="12"/>
      <c r="AC100" s="9"/>
      <c r="AD100" s="9"/>
      <c r="AE100" s="9"/>
      <c r="AF100" s="9"/>
      <c r="AG100" s="9"/>
      <c r="AH100" s="28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30"/>
    </row>
    <row r="101" spans="2:46" ht="30" customHeight="1">
      <c r="B101" s="9" t="str">
        <f t="shared" si="6"/>
        <v/>
      </c>
      <c r="C101" s="1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7"/>
        <v/>
      </c>
      <c r="T101" s="9" t="str">
        <f t="shared" si="8"/>
        <v/>
      </c>
      <c r="U101" s="9"/>
      <c r="V101" s="9"/>
      <c r="W101" s="9"/>
      <c r="X101" s="9"/>
      <c r="Y101" s="9"/>
      <c r="Z101" s="9"/>
      <c r="AA101" s="12"/>
      <c r="AB101" s="12"/>
      <c r="AC101" s="9"/>
      <c r="AD101" s="9"/>
      <c r="AE101" s="9"/>
      <c r="AF101" s="9"/>
      <c r="AG101" s="9"/>
      <c r="AH101" s="28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30"/>
    </row>
    <row r="102" spans="2:46" ht="30" customHeight="1">
      <c r="B102" s="9" t="str">
        <f t="shared" si="6"/>
        <v/>
      </c>
      <c r="C102" s="1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7"/>
        <v/>
      </c>
      <c r="T102" s="9" t="str">
        <f t="shared" si="8"/>
        <v/>
      </c>
      <c r="U102" s="9"/>
      <c r="V102" s="9"/>
      <c r="W102" s="9"/>
      <c r="X102" s="9"/>
      <c r="Y102" s="9"/>
      <c r="Z102" s="9"/>
      <c r="AA102" s="12"/>
      <c r="AB102" s="12"/>
      <c r="AC102" s="9"/>
      <c r="AD102" s="9"/>
      <c r="AE102" s="9"/>
      <c r="AF102" s="9"/>
      <c r="AG102" s="9"/>
      <c r="AH102" s="28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30"/>
    </row>
    <row r="103" spans="2:46" ht="30" customHeight="1">
      <c r="B103" s="9" t="str">
        <f t="shared" si="6"/>
        <v/>
      </c>
      <c r="C103" s="1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7"/>
        <v/>
      </c>
      <c r="T103" s="9" t="str">
        <f t="shared" si="8"/>
        <v/>
      </c>
      <c r="U103" s="9"/>
      <c r="V103" s="9"/>
      <c r="W103" s="9"/>
      <c r="X103" s="9"/>
      <c r="Y103" s="9"/>
      <c r="Z103" s="9"/>
      <c r="AA103" s="12"/>
      <c r="AB103" s="12"/>
      <c r="AC103" s="9"/>
      <c r="AD103" s="9"/>
      <c r="AE103" s="9"/>
      <c r="AF103" s="9"/>
      <c r="AG103" s="9"/>
      <c r="AH103" s="28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30"/>
    </row>
    <row r="104" spans="2:46" ht="30" customHeight="1">
      <c r="B104" s="9" t="str">
        <f t="shared" si="6"/>
        <v/>
      </c>
      <c r="C104" s="1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7"/>
        <v/>
      </c>
      <c r="T104" s="9" t="str">
        <f t="shared" si="8"/>
        <v/>
      </c>
      <c r="U104" s="9"/>
      <c r="V104" s="9"/>
      <c r="W104" s="9"/>
      <c r="X104" s="9"/>
      <c r="Y104" s="9"/>
      <c r="Z104" s="9"/>
      <c r="AA104" s="12"/>
      <c r="AB104" s="12"/>
      <c r="AC104" s="9"/>
      <c r="AD104" s="9"/>
      <c r="AE104" s="9"/>
      <c r="AF104" s="9"/>
      <c r="AG104" s="9"/>
      <c r="AH104" s="28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30"/>
    </row>
    <row r="105" spans="2:46" ht="30" customHeight="1">
      <c r="B105" s="9" t="str">
        <f t="shared" si="6"/>
        <v/>
      </c>
      <c r="C105" s="1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7"/>
        <v/>
      </c>
      <c r="T105" s="9" t="str">
        <f t="shared" si="8"/>
        <v/>
      </c>
      <c r="U105" s="9"/>
      <c r="V105" s="9"/>
      <c r="W105" s="9"/>
      <c r="X105" s="9"/>
      <c r="Y105" s="9"/>
      <c r="Z105" s="9"/>
      <c r="AA105" s="12"/>
      <c r="AB105" s="12"/>
      <c r="AC105" s="9"/>
      <c r="AD105" s="9"/>
      <c r="AE105" s="9"/>
      <c r="AF105" s="9"/>
      <c r="AG105" s="9"/>
      <c r="AH105" s="28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30"/>
    </row>
    <row r="106" spans="2:46" ht="30" customHeight="1">
      <c r="B106" s="9" t="str">
        <f t="shared" si="6"/>
        <v/>
      </c>
      <c r="C106" s="1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7"/>
        <v/>
      </c>
      <c r="T106" s="9" t="str">
        <f t="shared" si="8"/>
        <v/>
      </c>
      <c r="U106" s="9"/>
      <c r="V106" s="9"/>
      <c r="W106" s="9"/>
      <c r="X106" s="9"/>
      <c r="Y106" s="9"/>
      <c r="Z106" s="9"/>
      <c r="AA106" s="12"/>
      <c r="AB106" s="12"/>
      <c r="AC106" s="9"/>
      <c r="AD106" s="9"/>
      <c r="AE106" s="9"/>
      <c r="AF106" s="9"/>
      <c r="AG106" s="9"/>
      <c r="AH106" s="28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30"/>
    </row>
    <row r="107" spans="2:46" ht="30" customHeight="1">
      <c r="B107" s="9" t="str">
        <f t="shared" si="6"/>
        <v/>
      </c>
      <c r="C107" s="1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7"/>
        <v/>
      </c>
      <c r="T107" s="9" t="str">
        <f t="shared" si="8"/>
        <v/>
      </c>
      <c r="U107" s="9"/>
      <c r="V107" s="9"/>
      <c r="W107" s="9"/>
      <c r="X107" s="9"/>
      <c r="Y107" s="9"/>
      <c r="Z107" s="9"/>
      <c r="AA107" s="12"/>
      <c r="AB107" s="12"/>
      <c r="AC107" s="9"/>
      <c r="AD107" s="9"/>
      <c r="AE107" s="9"/>
      <c r="AF107" s="9"/>
      <c r="AG107" s="9"/>
      <c r="AH107" s="28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30"/>
    </row>
    <row r="108" spans="2:46" ht="30" customHeight="1">
      <c r="B108" s="9" t="str">
        <f t="shared" si="6"/>
        <v/>
      </c>
      <c r="C108" s="1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7"/>
        <v/>
      </c>
      <c r="T108" s="9" t="str">
        <f t="shared" si="8"/>
        <v/>
      </c>
      <c r="U108" s="9"/>
      <c r="V108" s="9"/>
      <c r="W108" s="9"/>
      <c r="X108" s="9"/>
      <c r="Y108" s="9"/>
      <c r="Z108" s="9"/>
      <c r="AA108" s="12"/>
      <c r="AB108" s="12"/>
      <c r="AC108" s="9"/>
      <c r="AD108" s="9"/>
      <c r="AE108" s="9"/>
      <c r="AF108" s="9"/>
      <c r="AG108" s="9"/>
      <c r="AH108" s="28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30"/>
    </row>
    <row r="109" spans="2:46" ht="30" customHeight="1">
      <c r="B109" s="9" t="str">
        <f t="shared" si="6"/>
        <v/>
      </c>
      <c r="C109" s="1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7"/>
        <v/>
      </c>
      <c r="T109" s="9" t="str">
        <f t="shared" si="8"/>
        <v/>
      </c>
      <c r="U109" s="9"/>
      <c r="V109" s="9"/>
      <c r="W109" s="9"/>
      <c r="X109" s="9"/>
      <c r="Y109" s="9"/>
      <c r="Z109" s="9"/>
      <c r="AA109" s="12"/>
      <c r="AB109" s="12"/>
      <c r="AC109" s="9"/>
      <c r="AD109" s="9"/>
      <c r="AE109" s="9"/>
      <c r="AF109" s="9"/>
      <c r="AG109" s="9"/>
      <c r="AH109" s="28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30"/>
    </row>
    <row r="110" spans="2:46" ht="30" customHeight="1">
      <c r="B110" s="9" t="str">
        <f t="shared" si="6"/>
        <v/>
      </c>
      <c r="C110" s="1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7"/>
        <v/>
      </c>
      <c r="T110" s="9" t="str">
        <f t="shared" si="8"/>
        <v/>
      </c>
      <c r="U110" s="9"/>
      <c r="V110" s="9"/>
      <c r="W110" s="9"/>
      <c r="X110" s="9"/>
      <c r="Y110" s="9"/>
      <c r="Z110" s="9"/>
      <c r="AA110" s="12"/>
      <c r="AB110" s="12"/>
      <c r="AC110" s="9"/>
      <c r="AD110" s="9"/>
      <c r="AE110" s="9"/>
      <c r="AF110" s="9"/>
      <c r="AG110" s="9"/>
      <c r="AH110" s="28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30"/>
    </row>
    <row r="111" spans="2:46" ht="30" customHeight="1">
      <c r="B111" s="9" t="str">
        <f t="shared" ref="B111:B142" si="9">IF(C111="","","SC-"&amp;TEXT(ROW()-12,"000"))</f>
        <v/>
      </c>
      <c r="C111" s="1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ref="S111:S142" si="10">IF(OR(Q111="",R111=""),"",Q111*R111)</f>
        <v/>
      </c>
      <c r="T111" s="9" t="str">
        <f t="shared" ref="T111:T142" si="11">IF(S111="","",IF(S111&gt;=17,"Crítico",IF(S111&gt;=10,"Alto",IF(S111&gt;=5,"Medio","Bajo"))))</f>
        <v/>
      </c>
      <c r="U111" s="9"/>
      <c r="V111" s="9"/>
      <c r="W111" s="9"/>
      <c r="X111" s="9"/>
      <c r="Y111" s="9"/>
      <c r="Z111" s="9"/>
      <c r="AA111" s="12"/>
      <c r="AB111" s="12"/>
      <c r="AC111" s="9"/>
      <c r="AD111" s="9"/>
      <c r="AE111" s="9"/>
      <c r="AF111" s="9"/>
      <c r="AG111" s="9"/>
      <c r="AH111" s="28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30"/>
    </row>
    <row r="112" spans="2:46" ht="30" customHeight="1">
      <c r="B112" s="9" t="str">
        <f t="shared" si="9"/>
        <v/>
      </c>
      <c r="C112" s="1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10"/>
        <v/>
      </c>
      <c r="T112" s="9" t="str">
        <f t="shared" si="11"/>
        <v/>
      </c>
      <c r="U112" s="9"/>
      <c r="V112" s="9"/>
      <c r="W112" s="9"/>
      <c r="X112" s="9"/>
      <c r="Y112" s="9"/>
      <c r="Z112" s="9"/>
      <c r="AA112" s="12"/>
      <c r="AB112" s="12"/>
      <c r="AC112" s="9"/>
      <c r="AD112" s="9"/>
      <c r="AE112" s="9"/>
      <c r="AF112" s="9"/>
      <c r="AG112" s="9"/>
      <c r="AH112" s="28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30"/>
    </row>
    <row r="113" spans="2:46" ht="30" customHeight="1">
      <c r="B113" s="9" t="str">
        <f t="shared" si="9"/>
        <v/>
      </c>
      <c r="C113" s="1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10"/>
        <v/>
      </c>
      <c r="T113" s="9" t="str">
        <f t="shared" si="11"/>
        <v/>
      </c>
      <c r="U113" s="9"/>
      <c r="V113" s="9"/>
      <c r="W113" s="9"/>
      <c r="X113" s="9"/>
      <c r="Y113" s="9"/>
      <c r="Z113" s="9"/>
      <c r="AA113" s="12"/>
      <c r="AB113" s="12"/>
      <c r="AC113" s="9"/>
      <c r="AD113" s="9"/>
      <c r="AE113" s="9"/>
      <c r="AF113" s="9"/>
      <c r="AG113" s="9"/>
      <c r="AH113" s="28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30"/>
    </row>
    <row r="114" spans="2:46" ht="30" customHeight="1">
      <c r="B114" s="10" t="str">
        <f t="shared" si="9"/>
        <v/>
      </c>
      <c r="C114" s="1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 t="str">
        <f t="shared" si="10"/>
        <v/>
      </c>
      <c r="T114" s="10" t="str">
        <f t="shared" si="11"/>
        <v/>
      </c>
      <c r="U114" s="10"/>
      <c r="V114" s="10"/>
      <c r="W114" s="10"/>
      <c r="X114" s="10"/>
      <c r="Y114" s="10"/>
      <c r="Z114" s="10"/>
      <c r="AA114" s="13"/>
      <c r="AB114" s="13"/>
      <c r="AC114" s="10"/>
      <c r="AD114" s="10"/>
      <c r="AE114" s="10"/>
      <c r="AF114" s="10"/>
      <c r="AG114" s="10"/>
      <c r="AH114" s="31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3"/>
    </row>
  </sheetData>
  <mergeCells count="34">
    <mergeCell ref="AD10:AG11"/>
    <mergeCell ref="B12:AG12"/>
    <mergeCell ref="C4:D4"/>
    <mergeCell ref="E4:F4"/>
    <mergeCell ref="C5:D5"/>
    <mergeCell ref="B6:H6"/>
    <mergeCell ref="E5:F5"/>
    <mergeCell ref="G4:H4"/>
    <mergeCell ref="G5:H5"/>
    <mergeCell ref="B7:AG7"/>
    <mergeCell ref="B9:D9"/>
    <mergeCell ref="B10:D11"/>
    <mergeCell ref="F9:H9"/>
    <mergeCell ref="F10:H11"/>
    <mergeCell ref="J9:L9"/>
    <mergeCell ref="J10:L11"/>
    <mergeCell ref="N9:P9"/>
    <mergeCell ref="N10:P11"/>
    <mergeCell ref="R9:T9"/>
    <mergeCell ref="R10:T11"/>
    <mergeCell ref="V9:X9"/>
    <mergeCell ref="V10:X11"/>
    <mergeCell ref="Z9:AB9"/>
    <mergeCell ref="Z10:AB11"/>
    <mergeCell ref="AD9:AG9"/>
    <mergeCell ref="N5:S5"/>
    <mergeCell ref="T5:Y5"/>
    <mergeCell ref="Z5:AG5"/>
    <mergeCell ref="J4:M4"/>
    <mergeCell ref="N4:R4"/>
    <mergeCell ref="S4:W4"/>
    <mergeCell ref="X4:AG4"/>
    <mergeCell ref="B2:H2"/>
    <mergeCell ref="B3:H3"/>
  </mergeCells>
  <conditionalFormatting sqref="S15:S114">
    <cfRule type="dataBar" priority="10">
      <dataBar>
        <cfvo type="min"/>
        <cfvo type="max"/>
        <color rgb="FFC92351"/>
      </dataBar>
    </cfRule>
    <cfRule type="dataBar" priority="11">
      <dataBar>
        <cfvo type="min"/>
        <cfvo type="max"/>
        <color rgb="FFC92351"/>
      </dataBar>
      <extLst>
        <ext xmlns:x14="http://schemas.microsoft.com/office/spreadsheetml/2009/9/main" uri="{B025F937-C7B1-47D3-B67F-A62EFF666E3E}">
          <x14:id>{37AE5A59-FA99-443A-E468-E5BD78D99CA0}</x14:id>
        </ext>
      </extLst>
    </cfRule>
  </conditionalFormatting>
  <conditionalFormatting sqref="T15:T114">
    <cfRule type="cellIs" dxfId="8" priority="1" operator="equal">
      <formula>"Crítico"</formula>
    </cfRule>
    <cfRule type="cellIs" dxfId="7" priority="2" operator="equal">
      <formula>"Alto"</formula>
    </cfRule>
    <cfRule type="cellIs" dxfId="6" priority="3" operator="equal">
      <formula>"Medio"</formula>
    </cfRule>
    <cfRule type="cellIs" dxfId="5" priority="4" operator="equal">
      <formula>"Bajo"</formula>
    </cfRule>
  </conditionalFormatting>
  <conditionalFormatting sqref="Z15:Z114">
    <cfRule type="cellIs" dxfId="4" priority="5" operator="equal">
      <formula>"Cerrado"</formula>
    </cfRule>
    <cfRule type="cellIs" dxfId="3" priority="6" operator="equal">
      <formula>"Rechazado"</formula>
    </cfRule>
    <cfRule type="cellIs" dxfId="2" priority="7" operator="equal">
      <formula>"En implementación"</formula>
    </cfRule>
    <cfRule type="cellIs" dxfId="1" priority="8" operator="equal">
      <formula>"Pendiente de aprobación"</formula>
    </cfRule>
  </conditionalFormatting>
  <conditionalFormatting sqref="AA15:AA114">
    <cfRule type="expression" dxfId="0" priority="9">
      <formula>AND($AA15&lt;TODAY(),$AA15&lt;&gt;"",$Z15&lt;&gt;"Cerrado",$Z15&lt;&gt;"Cancelado",$Z15&lt;&gt;"Rechazado")</formula>
    </cfRule>
  </conditionalFormatting>
  <dataValidations count="1">
    <dataValidation type="whole" sqref="Q15:R114" xr:uid="{00000000-0002-0000-0100-000009000000}">
      <formula1>1</formula1>
      <formula2>5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E5A59-FA99-443A-E468-E5BD78D99CA0}">
            <x14:dataBar>
              <x14:cfvo type="min"/>
              <x14:cfvo type="max"/>
              <x14:negativeFillColor auto="1"/>
              <x14:axisColor auto="1"/>
            </x14:dataBar>
          </x14:cfRule>
          <xm:sqref>S15:S114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xr:uid="{00000000-0002-0000-0100-000000000000}">
          <x14:formula1>
            <xm:f>Catálogos!$A$2:$A$8</xm:f>
          </x14:formula1>
          <xm:sqref>D15:D114</xm:sqref>
        </x14:dataValidation>
        <x14:dataValidation type="list" xr:uid="{00000000-0002-0000-0100-000001000000}">
          <x14:formula1>
            <xm:f>Catálogos!$B$2:$B$8</xm:f>
          </x14:formula1>
          <xm:sqref>E15:E114</xm:sqref>
        </x14:dataValidation>
        <x14:dataValidation type="list" xr:uid="{00000000-0002-0000-0100-000002000000}">
          <x14:formula1>
            <xm:f>Catálogos!$C$2:$C$5</xm:f>
          </x14:formula1>
          <xm:sqref>J15:J114</xm:sqref>
        </x14:dataValidation>
        <x14:dataValidation type="list" xr:uid="{00000000-0002-0000-0100-000003000000}">
          <x14:formula1>
            <xm:f>Catálogos!$D$2:$D$4</xm:f>
          </x14:formula1>
          <xm:sqref>K15:K114</xm:sqref>
        </x14:dataValidation>
        <x14:dataValidation type="list" xr:uid="{00000000-0002-0000-0100-000004000000}">
          <x14:formula1>
            <xm:f>Catálogos!$I$2:$I$5</xm:f>
          </x14:formula1>
          <xm:sqref>L15:P114</xm:sqref>
        </x14:dataValidation>
        <x14:dataValidation type="list" xr:uid="{00000000-0002-0000-0100-00000B000000}">
          <x14:formula1>
            <xm:f>Catálogos!$K$2:$K$8</xm:f>
          </x14:formula1>
          <xm:sqref>AD15:AD114 V15:X114</xm:sqref>
        </x14:dataValidation>
        <x14:dataValidation type="list" xr:uid="{00000000-0002-0000-0100-00000F000000}">
          <x14:formula1>
            <xm:f>Catálogos!$F$2:$F$5</xm:f>
          </x14:formula1>
          <xm:sqref>Y15:Y114</xm:sqref>
        </x14:dataValidation>
        <x14:dataValidation type="list" xr:uid="{00000000-0002-0000-0100-000010000000}">
          <x14:formula1>
            <xm:f>Catálogos!$G$2:$G$11</xm:f>
          </x14:formula1>
          <xm:sqref>Z15:Z114</xm:sqref>
        </x14:dataValidation>
        <x14:dataValidation type="list" xr:uid="{00000000-0002-0000-0100-000011000000}">
          <x14:formula1>
            <xm:f>Catálogos!$H$2:$H$6</xm:f>
          </x14:formula1>
          <xm:sqref>AC15:AC114</xm:sqref>
        </x14:dataValidation>
        <x14:dataValidation type="list" xr:uid="{00000000-0002-0000-0100-000012000000}">
          <x14:formula1>
            <xm:f>Catálogos!$M$2:$M$4</xm:f>
          </x14:formula1>
          <xm:sqref>AM15:AM114</xm:sqref>
        </x14:dataValidation>
        <x14:dataValidation type="list" xr:uid="{00000000-0002-0000-0100-000013000000}">
          <x14:formula1>
            <xm:f>Catálogos!$N$2:$N$4</xm:f>
          </x14:formula1>
          <xm:sqref>AS15:AS114</xm:sqref>
        </x14:dataValidation>
        <x14:dataValidation type="list" xr:uid="{00000000-0002-0000-0100-000014000000}">
          <x14:formula1>
            <xm:f>Catálogos!$O$2:$O$5</xm:f>
          </x14:formula1>
          <xm:sqref>AT15:AT114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3966"/>
  </sheetPr>
  <dimension ref="B2:M81"/>
  <sheetViews>
    <sheetView showGridLines="0" tabSelected="1" workbookViewId="0">
      <pane ySplit="4" topLeftCell="A5" activePane="bottomLeft" state="frozen"/>
      <selection pane="bottomLeft" activeCell="B81" sqref="B81:M81"/>
    </sheetView>
  </sheetViews>
  <sheetFormatPr baseColWidth="10" defaultColWidth="8.796875" defaultRowHeight="13.8"/>
  <cols>
    <col min="1" max="1" width="8.796875" style="48"/>
    <col min="2" max="13" width="14" style="48" customWidth="1"/>
    <col min="14" max="16384" width="8.796875" style="48"/>
  </cols>
  <sheetData>
    <row r="2" spans="2:13" ht="25.95" customHeight="1">
      <c r="B2" s="108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2:13" ht="24" customHeight="1">
      <c r="B3" s="108" t="s">
        <v>135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2:13" ht="7.8" customHeight="1"/>
    <row r="5" spans="2:13">
      <c r="B5" s="110" t="s">
        <v>136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</row>
    <row r="6" spans="2:13" ht="24" customHeight="1">
      <c r="B6" s="112" t="s">
        <v>137</v>
      </c>
      <c r="C6" s="112" t="s">
        <v>137</v>
      </c>
      <c r="D6" s="113"/>
      <c r="E6" s="113"/>
      <c r="F6" s="114" t="s">
        <v>94</v>
      </c>
      <c r="G6" s="114" t="s">
        <v>94</v>
      </c>
      <c r="H6" s="113"/>
      <c r="I6" s="113"/>
      <c r="J6" s="112" t="s">
        <v>101</v>
      </c>
      <c r="K6" s="112" t="s">
        <v>101</v>
      </c>
      <c r="L6" s="113"/>
      <c r="M6" s="113"/>
    </row>
    <row r="7" spans="2:13" ht="24" customHeight="1">
      <c r="B7" s="112" t="s">
        <v>10</v>
      </c>
      <c r="C7" s="112" t="s">
        <v>10</v>
      </c>
      <c r="D7" s="113"/>
      <c r="E7" s="113"/>
      <c r="F7" s="113"/>
      <c r="G7" s="113"/>
      <c r="H7" s="112" t="s">
        <v>95</v>
      </c>
      <c r="I7" s="112" t="s">
        <v>95</v>
      </c>
      <c r="J7" s="113"/>
      <c r="K7" s="113"/>
      <c r="L7" s="113"/>
      <c r="M7" s="113"/>
    </row>
    <row r="8" spans="2:13" ht="24" customHeight="1">
      <c r="B8" s="112" t="s">
        <v>138</v>
      </c>
      <c r="C8" s="112" t="s">
        <v>138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</row>
    <row r="9" spans="2:13" ht="28.05" customHeight="1">
      <c r="B9" s="112" t="s">
        <v>58</v>
      </c>
      <c r="C9" s="112" t="s">
        <v>58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</row>
    <row r="10" spans="2:13" ht="28.05" customHeight="1">
      <c r="B10" s="112" t="s">
        <v>58</v>
      </c>
      <c r="C10" s="112" t="s">
        <v>58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</row>
    <row r="11" spans="2:13" ht="28.05" customHeight="1">
      <c r="B11" s="112" t="s">
        <v>58</v>
      </c>
      <c r="C11" s="112" t="s">
        <v>58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</row>
    <row r="12" spans="2:13" ht="28.05" customHeight="1">
      <c r="B12" s="112" t="s">
        <v>139</v>
      </c>
      <c r="C12" s="112" t="s">
        <v>139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</row>
    <row r="13" spans="2:13" ht="28.05" customHeight="1">
      <c r="B13" s="112" t="s">
        <v>139</v>
      </c>
      <c r="C13" s="112" t="s">
        <v>139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</row>
    <row r="14" spans="2:13" ht="28.05" customHeight="1">
      <c r="B14" s="112" t="s">
        <v>139</v>
      </c>
      <c r="C14" s="112" t="s">
        <v>139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</row>
    <row r="15" spans="2:13" ht="24" customHeight="1">
      <c r="F15" s="109"/>
      <c r="G15" s="109"/>
    </row>
    <row r="16" spans="2:13" ht="24" customHeight="1">
      <c r="B16" s="115" t="s">
        <v>140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</row>
    <row r="17" spans="2:13" ht="24" customHeight="1">
      <c r="B17" s="118" t="s">
        <v>99</v>
      </c>
      <c r="C17" s="118" t="s">
        <v>99</v>
      </c>
      <c r="D17" s="117"/>
      <c r="E17" s="117"/>
      <c r="F17" s="117"/>
      <c r="G17" s="117"/>
      <c r="H17" s="118" t="s">
        <v>100</v>
      </c>
      <c r="I17" s="118" t="s">
        <v>100</v>
      </c>
      <c r="J17" s="117"/>
      <c r="K17" s="117"/>
      <c r="L17" s="117"/>
      <c r="M17" s="117"/>
    </row>
    <row r="18" spans="2:13" ht="24" customHeight="1">
      <c r="B18" s="118" t="s">
        <v>141</v>
      </c>
      <c r="C18" s="118" t="s">
        <v>141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</row>
    <row r="19" spans="2:13" ht="28.05" customHeight="1">
      <c r="B19" s="116" t="s">
        <v>142</v>
      </c>
      <c r="C19" s="116" t="s">
        <v>142</v>
      </c>
      <c r="D19" s="117"/>
      <c r="E19" s="117"/>
      <c r="F19" s="117"/>
      <c r="G19" s="117"/>
      <c r="H19" s="117"/>
      <c r="I19" s="117"/>
      <c r="J19" s="117"/>
      <c r="K19" s="117"/>
      <c r="L19" s="117"/>
      <c r="M19" s="117"/>
    </row>
    <row r="20" spans="2:13" ht="28.05" customHeight="1">
      <c r="B20" s="116" t="s">
        <v>142</v>
      </c>
      <c r="C20" s="116" t="s">
        <v>142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</row>
    <row r="21" spans="2:13" ht="28.05" customHeight="1">
      <c r="B21" s="116" t="s">
        <v>142</v>
      </c>
      <c r="C21" s="116" t="s">
        <v>142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</row>
    <row r="22" spans="2:13" ht="28.05" customHeight="1">
      <c r="B22" s="118" t="s">
        <v>143</v>
      </c>
      <c r="C22" s="118" t="s">
        <v>143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</row>
    <row r="23" spans="2:13" ht="28.05" customHeight="1">
      <c r="B23" s="118" t="s">
        <v>143</v>
      </c>
      <c r="C23" s="118" t="s">
        <v>143</v>
      </c>
      <c r="D23" s="117"/>
      <c r="E23" s="117"/>
      <c r="F23" s="117"/>
      <c r="G23" s="117"/>
      <c r="H23" s="117"/>
      <c r="I23" s="117"/>
      <c r="J23" s="117"/>
      <c r="K23" s="117"/>
      <c r="L23" s="117"/>
      <c r="M23" s="117"/>
    </row>
    <row r="24" spans="2:13" ht="28.05" customHeight="1">
      <c r="B24" s="118" t="s">
        <v>143</v>
      </c>
      <c r="C24" s="118" t="s">
        <v>143</v>
      </c>
      <c r="D24" s="117"/>
      <c r="E24" s="117"/>
      <c r="F24" s="117"/>
      <c r="G24" s="117"/>
      <c r="H24" s="117"/>
      <c r="I24" s="117"/>
      <c r="J24" s="117"/>
      <c r="K24" s="117"/>
      <c r="L24" s="117"/>
      <c r="M24" s="117"/>
    </row>
    <row r="25" spans="2:13" ht="24" customHeight="1">
      <c r="F25" s="109"/>
      <c r="G25" s="109"/>
    </row>
    <row r="26" spans="2:13" ht="24" customHeight="1">
      <c r="B26" s="115" t="s">
        <v>144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</row>
    <row r="27" spans="2:13" ht="24" customHeight="1">
      <c r="B27" s="118" t="s">
        <v>145</v>
      </c>
      <c r="C27" s="118" t="s">
        <v>145</v>
      </c>
      <c r="D27" s="117"/>
      <c r="E27" s="117"/>
      <c r="F27" s="117"/>
      <c r="G27" s="117"/>
      <c r="H27" s="118" t="s">
        <v>112</v>
      </c>
      <c r="I27" s="118" t="s">
        <v>112</v>
      </c>
      <c r="J27" s="117"/>
      <c r="K27" s="117"/>
      <c r="L27" s="117"/>
      <c r="M27" s="117"/>
    </row>
    <row r="28" spans="2:13" ht="24" customHeight="1">
      <c r="B28" s="118" t="s">
        <v>146</v>
      </c>
      <c r="C28" s="118" t="s">
        <v>146</v>
      </c>
      <c r="D28" s="117"/>
      <c r="E28" s="117"/>
      <c r="F28" s="119" t="s">
        <v>147</v>
      </c>
      <c r="G28" s="119" t="s">
        <v>147</v>
      </c>
      <c r="H28" s="117"/>
      <c r="I28" s="117"/>
      <c r="J28" s="118" t="s">
        <v>148</v>
      </c>
      <c r="K28" s="118" t="s">
        <v>148</v>
      </c>
      <c r="L28" s="117"/>
      <c r="M28" s="117"/>
    </row>
    <row r="29" spans="2:13" ht="24" customHeight="1">
      <c r="B29" s="118" t="s">
        <v>149</v>
      </c>
      <c r="C29" s="118" t="s">
        <v>149</v>
      </c>
      <c r="D29" s="117"/>
      <c r="E29" s="117"/>
      <c r="F29" s="118" t="s">
        <v>150</v>
      </c>
      <c r="G29" s="118" t="s">
        <v>150</v>
      </c>
      <c r="H29" s="117"/>
      <c r="I29" s="117"/>
      <c r="J29" s="118" t="s">
        <v>151</v>
      </c>
      <c r="K29" s="118" t="s">
        <v>151</v>
      </c>
      <c r="L29" s="117"/>
      <c r="M29" s="117"/>
    </row>
    <row r="30" spans="2:13" ht="24" customHeight="1">
      <c r="B30" s="118" t="s">
        <v>152</v>
      </c>
      <c r="C30" s="118" t="s">
        <v>152</v>
      </c>
      <c r="D30" s="117"/>
      <c r="E30" s="117"/>
      <c r="F30" s="119" t="s">
        <v>153</v>
      </c>
      <c r="G30" s="119" t="s">
        <v>153</v>
      </c>
      <c r="H30" s="117"/>
      <c r="I30" s="117"/>
      <c r="J30" s="118" t="s">
        <v>110</v>
      </c>
      <c r="K30" s="118" t="s">
        <v>110</v>
      </c>
      <c r="L30" s="117" t="str">
        <f>IF(OR(D30="",H30=""),"",D30*H30)</f>
        <v/>
      </c>
      <c r="M30" s="117"/>
    </row>
    <row r="31" spans="2:13" ht="28.05" customHeight="1">
      <c r="B31" s="118" t="s">
        <v>154</v>
      </c>
      <c r="C31" s="118" t="s">
        <v>154</v>
      </c>
      <c r="D31" s="117"/>
      <c r="E31" s="117"/>
      <c r="F31" s="117"/>
      <c r="G31" s="117"/>
      <c r="H31" s="117"/>
      <c r="I31" s="117"/>
      <c r="J31" s="117"/>
      <c r="K31" s="117"/>
      <c r="L31" s="117"/>
      <c r="M31" s="117"/>
    </row>
    <row r="32" spans="2:13" ht="28.05" customHeight="1">
      <c r="B32" s="118" t="s">
        <v>154</v>
      </c>
      <c r="C32" s="118" t="s">
        <v>154</v>
      </c>
      <c r="D32" s="117"/>
      <c r="E32" s="117"/>
      <c r="F32" s="117"/>
      <c r="G32" s="117"/>
      <c r="H32" s="117"/>
      <c r="I32" s="117"/>
      <c r="J32" s="117"/>
      <c r="K32" s="117"/>
      <c r="L32" s="117"/>
      <c r="M32" s="117"/>
    </row>
    <row r="33" spans="2:13" ht="28.05" customHeight="1">
      <c r="B33" s="118" t="s">
        <v>154</v>
      </c>
      <c r="C33" s="118" t="s">
        <v>154</v>
      </c>
      <c r="D33" s="117"/>
      <c r="E33" s="117"/>
      <c r="F33" s="117"/>
      <c r="G33" s="117"/>
      <c r="H33" s="117"/>
      <c r="I33" s="117"/>
      <c r="J33" s="117"/>
      <c r="K33" s="117"/>
      <c r="L33" s="117"/>
      <c r="M33" s="117"/>
    </row>
    <row r="34" spans="2:13" ht="28.05" customHeight="1">
      <c r="B34" s="118" t="s">
        <v>155</v>
      </c>
      <c r="C34" s="118" t="s">
        <v>155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</row>
    <row r="35" spans="2:13" ht="28.05" customHeight="1">
      <c r="B35" s="118" t="s">
        <v>155</v>
      </c>
      <c r="C35" s="118" t="s">
        <v>155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</row>
    <row r="36" spans="2:13" ht="28.05" customHeight="1">
      <c r="B36" s="118" t="s">
        <v>155</v>
      </c>
      <c r="C36" s="118" t="s">
        <v>155</v>
      </c>
      <c r="D36" s="117"/>
      <c r="E36" s="117"/>
      <c r="F36" s="117"/>
      <c r="G36" s="117"/>
      <c r="H36" s="117"/>
      <c r="I36" s="117"/>
      <c r="J36" s="117"/>
      <c r="K36" s="117"/>
      <c r="L36" s="117"/>
      <c r="M36" s="117"/>
    </row>
    <row r="37" spans="2:13" ht="24" customHeight="1">
      <c r="F37" s="109"/>
      <c r="G37" s="109"/>
    </row>
    <row r="38" spans="2:13" ht="24" customHeight="1">
      <c r="B38" s="115" t="s">
        <v>156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2:13" ht="24" customHeight="1">
      <c r="B39" s="118" t="s">
        <v>45</v>
      </c>
      <c r="C39" s="118" t="s">
        <v>45</v>
      </c>
      <c r="D39" s="117"/>
      <c r="E39" s="117"/>
      <c r="F39" s="117"/>
      <c r="G39" s="117"/>
      <c r="H39" s="118" t="s">
        <v>114</v>
      </c>
      <c r="I39" s="118" t="s">
        <v>114</v>
      </c>
      <c r="J39" s="117"/>
      <c r="K39" s="117"/>
      <c r="L39" s="117"/>
      <c r="M39" s="117"/>
    </row>
    <row r="40" spans="2:13" ht="24" customHeight="1">
      <c r="B40" s="118" t="s">
        <v>157</v>
      </c>
      <c r="C40" s="118" t="s">
        <v>157</v>
      </c>
      <c r="D40" s="117"/>
      <c r="E40" s="117"/>
      <c r="F40" s="118" t="s">
        <v>115</v>
      </c>
      <c r="G40" s="118" t="s">
        <v>115</v>
      </c>
      <c r="H40" s="117"/>
      <c r="I40" s="117"/>
      <c r="J40" s="118" t="s">
        <v>158</v>
      </c>
      <c r="K40" s="118" t="s">
        <v>158</v>
      </c>
      <c r="L40" s="117"/>
      <c r="M40" s="117"/>
    </row>
    <row r="41" spans="2:13" ht="28.05" customHeight="1">
      <c r="B41" s="118" t="s">
        <v>159</v>
      </c>
      <c r="C41" s="118" t="s">
        <v>159</v>
      </c>
      <c r="D41" s="117"/>
      <c r="E41" s="117"/>
      <c r="F41" s="117"/>
      <c r="G41" s="117"/>
      <c r="H41" s="117"/>
      <c r="I41" s="117"/>
      <c r="J41" s="117"/>
      <c r="K41" s="117"/>
      <c r="L41" s="117"/>
      <c r="M41" s="117"/>
    </row>
    <row r="42" spans="2:13" ht="28.05" customHeight="1">
      <c r="B42" s="118" t="s">
        <v>159</v>
      </c>
      <c r="C42" s="118" t="s">
        <v>159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</row>
    <row r="43" spans="2:13" ht="28.05" customHeight="1">
      <c r="B43" s="118" t="s">
        <v>159</v>
      </c>
      <c r="C43" s="118" t="s">
        <v>159</v>
      </c>
      <c r="D43" s="117"/>
      <c r="E43" s="117"/>
      <c r="F43" s="117"/>
      <c r="G43" s="117"/>
      <c r="H43" s="117"/>
      <c r="I43" s="117"/>
      <c r="J43" s="117"/>
      <c r="K43" s="117"/>
      <c r="L43" s="117"/>
      <c r="M43" s="117"/>
    </row>
    <row r="44" spans="2:13" ht="28.05" customHeight="1">
      <c r="B44" s="118" t="s">
        <v>160</v>
      </c>
      <c r="C44" s="118" t="s">
        <v>160</v>
      </c>
      <c r="D44" s="117"/>
      <c r="E44" s="117"/>
      <c r="F44" s="117"/>
      <c r="G44" s="117"/>
      <c r="H44" s="117"/>
      <c r="I44" s="117"/>
      <c r="J44" s="117"/>
      <c r="K44" s="117"/>
      <c r="L44" s="117"/>
      <c r="M44" s="117"/>
    </row>
    <row r="45" spans="2:13" ht="28.05" customHeight="1">
      <c r="B45" s="118" t="s">
        <v>160</v>
      </c>
      <c r="C45" s="118" t="s">
        <v>160</v>
      </c>
      <c r="D45" s="117"/>
      <c r="E45" s="117"/>
      <c r="F45" s="117"/>
      <c r="G45" s="117"/>
      <c r="H45" s="117"/>
      <c r="I45" s="117"/>
      <c r="J45" s="117"/>
      <c r="K45" s="117"/>
      <c r="L45" s="117"/>
      <c r="M45" s="117"/>
    </row>
    <row r="46" spans="2:13" ht="28.05" customHeight="1">
      <c r="B46" s="118" t="s">
        <v>160</v>
      </c>
      <c r="C46" s="118" t="s">
        <v>160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</row>
    <row r="47" spans="2:13" ht="24" customHeight="1">
      <c r="F47" s="109"/>
      <c r="G47" s="109"/>
    </row>
    <row r="48" spans="2:13" ht="24" customHeight="1">
      <c r="B48" s="115" t="s">
        <v>161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pans="2:13" ht="24" customHeight="1">
      <c r="B49" s="116" t="s">
        <v>162</v>
      </c>
      <c r="C49" s="116" t="s">
        <v>162</v>
      </c>
      <c r="D49" s="117"/>
      <c r="E49" s="117"/>
      <c r="F49" s="117"/>
      <c r="G49" s="117"/>
      <c r="H49" s="118" t="s">
        <v>163</v>
      </c>
      <c r="I49" s="118" t="s">
        <v>163</v>
      </c>
      <c r="J49" s="117"/>
      <c r="K49" s="117"/>
      <c r="L49" s="117"/>
      <c r="M49" s="117"/>
    </row>
    <row r="50" spans="2:13" ht="28.05" customHeight="1">
      <c r="B50" s="116" t="s">
        <v>164</v>
      </c>
      <c r="C50" s="116" t="s">
        <v>164</v>
      </c>
      <c r="D50" s="117"/>
      <c r="E50" s="117"/>
      <c r="F50" s="117"/>
      <c r="G50" s="117"/>
      <c r="H50" s="117"/>
      <c r="I50" s="117"/>
      <c r="J50" s="117"/>
      <c r="K50" s="117"/>
      <c r="L50" s="117"/>
      <c r="M50" s="117"/>
    </row>
    <row r="51" spans="2:13" ht="28.05" customHeight="1">
      <c r="B51" s="116" t="s">
        <v>164</v>
      </c>
      <c r="C51" s="116" t="s">
        <v>164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</row>
    <row r="52" spans="2:13" ht="28.05" customHeight="1">
      <c r="B52" s="116" t="s">
        <v>164</v>
      </c>
      <c r="C52" s="116" t="s">
        <v>164</v>
      </c>
      <c r="D52" s="117"/>
      <c r="E52" s="117"/>
      <c r="F52" s="117"/>
      <c r="G52" s="117"/>
      <c r="H52" s="117"/>
      <c r="I52" s="117"/>
      <c r="J52" s="117"/>
      <c r="K52" s="117"/>
      <c r="L52" s="117"/>
      <c r="M52" s="117"/>
    </row>
    <row r="53" spans="2:13" ht="24" customHeight="1">
      <c r="B53" s="116" t="s">
        <v>118</v>
      </c>
      <c r="C53" s="116" t="s">
        <v>118</v>
      </c>
      <c r="D53" s="117"/>
      <c r="E53" s="117"/>
      <c r="F53" s="117"/>
      <c r="G53" s="117"/>
      <c r="H53" s="118" t="s">
        <v>117</v>
      </c>
      <c r="I53" s="118" t="s">
        <v>117</v>
      </c>
      <c r="J53" s="117"/>
      <c r="K53" s="117"/>
      <c r="L53" s="117"/>
      <c r="M53" s="117"/>
    </row>
    <row r="54" spans="2:13" ht="28.05" customHeight="1">
      <c r="B54" s="116" t="s">
        <v>165</v>
      </c>
      <c r="C54" s="116" t="s">
        <v>165</v>
      </c>
      <c r="D54" s="117"/>
      <c r="E54" s="117"/>
      <c r="F54" s="117"/>
      <c r="G54" s="117"/>
      <c r="H54" s="117"/>
      <c r="I54" s="117"/>
      <c r="J54" s="117"/>
      <c r="K54" s="117"/>
      <c r="L54" s="117"/>
      <c r="M54" s="117"/>
    </row>
    <row r="55" spans="2:13" ht="28.05" customHeight="1">
      <c r="B55" s="116" t="s">
        <v>165</v>
      </c>
      <c r="C55" s="116" t="s">
        <v>165</v>
      </c>
      <c r="D55" s="117"/>
      <c r="E55" s="117"/>
      <c r="F55" s="117"/>
      <c r="G55" s="117"/>
      <c r="H55" s="117"/>
      <c r="I55" s="117"/>
      <c r="J55" s="117"/>
      <c r="K55" s="117"/>
      <c r="L55" s="117"/>
      <c r="M55" s="117"/>
    </row>
    <row r="56" spans="2:13" ht="28.05" customHeight="1">
      <c r="B56" s="116" t="s">
        <v>165</v>
      </c>
      <c r="C56" s="116" t="s">
        <v>165</v>
      </c>
      <c r="D56" s="117"/>
      <c r="E56" s="117"/>
      <c r="F56" s="117"/>
      <c r="G56" s="117"/>
      <c r="H56" s="117"/>
      <c r="I56" s="117"/>
      <c r="J56" s="117"/>
      <c r="K56" s="117"/>
      <c r="L56" s="117"/>
      <c r="M56" s="117"/>
    </row>
    <row r="57" spans="2:13" ht="24" customHeight="1">
      <c r="B57" s="116" t="s">
        <v>120</v>
      </c>
      <c r="C57" s="116" t="s">
        <v>120</v>
      </c>
      <c r="D57" s="117"/>
      <c r="E57" s="117"/>
      <c r="F57" s="118" t="s">
        <v>166</v>
      </c>
      <c r="G57" s="118" t="s">
        <v>166</v>
      </c>
      <c r="H57" s="117"/>
      <c r="I57" s="117"/>
      <c r="J57" s="118" t="s">
        <v>167</v>
      </c>
      <c r="K57" s="118" t="s">
        <v>167</v>
      </c>
      <c r="L57" s="117"/>
      <c r="M57" s="117"/>
    </row>
    <row r="58" spans="2:13" ht="28.05" customHeight="1">
      <c r="B58" s="116" t="s">
        <v>168</v>
      </c>
      <c r="C58" s="116" t="s">
        <v>168</v>
      </c>
      <c r="D58" s="117"/>
      <c r="E58" s="117"/>
      <c r="F58" s="117"/>
      <c r="G58" s="117"/>
      <c r="H58" s="117"/>
      <c r="I58" s="117"/>
      <c r="J58" s="117"/>
      <c r="K58" s="117"/>
      <c r="L58" s="117"/>
      <c r="M58" s="117"/>
    </row>
    <row r="59" spans="2:13" ht="28.05" customHeight="1">
      <c r="B59" s="116" t="s">
        <v>168</v>
      </c>
      <c r="C59" s="116" t="s">
        <v>168</v>
      </c>
      <c r="D59" s="117"/>
      <c r="E59" s="117"/>
      <c r="F59" s="117"/>
      <c r="G59" s="117"/>
      <c r="H59" s="117"/>
      <c r="I59" s="117"/>
      <c r="J59" s="117"/>
      <c r="K59" s="117"/>
      <c r="L59" s="117"/>
      <c r="M59" s="117"/>
    </row>
    <row r="60" spans="2:13" ht="28.05" customHeight="1">
      <c r="B60" s="116" t="s">
        <v>168</v>
      </c>
      <c r="C60" s="116" t="s">
        <v>168</v>
      </c>
      <c r="D60" s="117"/>
      <c r="E60" s="117"/>
      <c r="F60" s="117"/>
      <c r="G60" s="117"/>
      <c r="H60" s="117"/>
      <c r="I60" s="117"/>
      <c r="J60" s="117"/>
      <c r="K60" s="117"/>
      <c r="L60" s="117"/>
      <c r="M60" s="117"/>
    </row>
    <row r="62" spans="2:13" ht="27" customHeight="1">
      <c r="B62" s="121" t="s">
        <v>169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2:13" ht="27" customHeight="1">
      <c r="B63" s="122" t="s">
        <v>122</v>
      </c>
      <c r="C63" s="122"/>
      <c r="D63" s="123"/>
      <c r="E63" s="123"/>
      <c r="F63" s="123"/>
      <c r="G63" s="122" t="s">
        <v>123</v>
      </c>
      <c r="H63" s="122"/>
      <c r="I63" s="124"/>
      <c r="J63" s="124"/>
      <c r="K63" s="124"/>
      <c r="L63" s="124"/>
      <c r="M63" s="124"/>
    </row>
    <row r="64" spans="2:13" ht="27" customHeight="1">
      <c r="B64" s="122" t="s">
        <v>124</v>
      </c>
      <c r="C64" s="122"/>
      <c r="D64" s="123"/>
      <c r="E64" s="123"/>
      <c r="F64" s="123"/>
      <c r="G64" s="122" t="s">
        <v>170</v>
      </c>
      <c r="H64" s="122"/>
      <c r="I64" s="124"/>
      <c r="J64" s="124"/>
      <c r="K64" s="124"/>
      <c r="L64" s="124"/>
      <c r="M64" s="124"/>
    </row>
    <row r="65" spans="2:13" ht="42" customHeight="1">
      <c r="B65" s="122" t="s">
        <v>125</v>
      </c>
      <c r="C65" s="122"/>
      <c r="D65" s="124"/>
      <c r="E65" s="124"/>
      <c r="F65" s="124"/>
      <c r="G65" s="124"/>
      <c r="H65" s="124"/>
      <c r="I65" s="124"/>
      <c r="J65" s="124"/>
      <c r="K65" s="124"/>
      <c r="L65" s="124"/>
      <c r="M65" s="124"/>
    </row>
    <row r="66" spans="2:13" ht="42" customHeight="1">
      <c r="B66" s="122" t="s">
        <v>126</v>
      </c>
      <c r="C66" s="122"/>
      <c r="D66" s="124"/>
      <c r="E66" s="124"/>
      <c r="F66" s="124"/>
      <c r="G66" s="124"/>
      <c r="H66" s="124"/>
      <c r="I66" s="124"/>
      <c r="J66" s="124"/>
      <c r="K66" s="124"/>
      <c r="L66" s="124"/>
      <c r="M66" s="124"/>
    </row>
    <row r="67" spans="2:13" ht="27" customHeight="1"/>
    <row r="68" spans="2:13" ht="27" customHeight="1">
      <c r="B68" s="110" t="s">
        <v>171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</row>
    <row r="69" spans="2:13" ht="27" customHeight="1">
      <c r="B69" s="125" t="s">
        <v>172</v>
      </c>
      <c r="C69" s="125"/>
      <c r="D69" s="126"/>
      <c r="E69" s="126"/>
      <c r="F69" s="126"/>
      <c r="G69" s="125" t="s">
        <v>173</v>
      </c>
      <c r="H69" s="125"/>
      <c r="I69" s="127"/>
      <c r="J69" s="128"/>
      <c r="K69" s="128"/>
      <c r="L69" s="128"/>
      <c r="M69" s="129"/>
    </row>
    <row r="70" spans="2:13" ht="42" customHeight="1">
      <c r="B70" s="125" t="s">
        <v>174</v>
      </c>
      <c r="C70" s="125"/>
      <c r="D70" s="127"/>
      <c r="E70" s="128"/>
      <c r="F70" s="128"/>
      <c r="G70" s="128"/>
      <c r="H70" s="128"/>
      <c r="I70" s="128"/>
      <c r="J70" s="128"/>
      <c r="K70" s="128"/>
      <c r="L70" s="128"/>
      <c r="M70" s="129"/>
    </row>
    <row r="71" spans="2:13" ht="42" customHeight="1">
      <c r="B71" s="125" t="s">
        <v>129</v>
      </c>
      <c r="C71" s="125"/>
      <c r="D71" s="127"/>
      <c r="E71" s="128"/>
      <c r="F71" s="128"/>
      <c r="G71" s="128"/>
      <c r="H71" s="128"/>
      <c r="I71" s="128"/>
      <c r="J71" s="128"/>
      <c r="K71" s="128"/>
      <c r="L71" s="128"/>
      <c r="M71" s="129"/>
    </row>
    <row r="72" spans="2:13" ht="27" customHeight="1">
      <c r="B72" s="125" t="s">
        <v>133</v>
      </c>
      <c r="C72" s="125"/>
      <c r="D72" s="126"/>
      <c r="E72" s="126"/>
      <c r="F72" s="126"/>
      <c r="G72" s="125" t="s">
        <v>134</v>
      </c>
      <c r="H72" s="125"/>
      <c r="I72" s="127"/>
      <c r="J72" s="128"/>
      <c r="K72" s="128"/>
      <c r="L72" s="128"/>
      <c r="M72" s="129"/>
    </row>
    <row r="73" spans="2:13" ht="42" customHeight="1">
      <c r="B73" s="125" t="s">
        <v>175</v>
      </c>
      <c r="C73" s="125"/>
      <c r="D73" s="127"/>
      <c r="E73" s="128"/>
      <c r="F73" s="128"/>
      <c r="G73" s="128"/>
      <c r="H73" s="128"/>
      <c r="I73" s="128"/>
      <c r="J73" s="128"/>
      <c r="K73" s="128"/>
      <c r="L73" s="128"/>
      <c r="M73" s="129"/>
    </row>
    <row r="74" spans="2:13" ht="27" customHeight="1"/>
    <row r="75" spans="2:13" ht="27" customHeight="1">
      <c r="B75" s="120" t="s">
        <v>176</v>
      </c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</row>
    <row r="76" spans="2:13" ht="42" customHeight="1">
      <c r="B76" s="125" t="s">
        <v>130</v>
      </c>
      <c r="C76" s="125"/>
      <c r="D76" s="126"/>
      <c r="E76" s="126"/>
      <c r="F76" s="126"/>
      <c r="G76" s="126"/>
      <c r="H76" s="126"/>
      <c r="I76" s="126"/>
      <c r="J76" s="126"/>
      <c r="K76" s="126"/>
      <c r="L76" s="126"/>
      <c r="M76" s="126"/>
    </row>
    <row r="77" spans="2:13" ht="42" customHeight="1">
      <c r="B77" s="125" t="s">
        <v>131</v>
      </c>
      <c r="C77" s="125"/>
      <c r="D77" s="126"/>
      <c r="E77" s="126"/>
      <c r="F77" s="126"/>
      <c r="G77" s="126"/>
      <c r="H77" s="126"/>
      <c r="I77" s="126"/>
      <c r="J77" s="126"/>
      <c r="K77" s="126"/>
      <c r="L77" s="126"/>
      <c r="M77" s="126"/>
    </row>
    <row r="78" spans="2:13" ht="27" customHeight="1">
      <c r="B78" s="125" t="s">
        <v>132</v>
      </c>
      <c r="C78" s="125"/>
      <c r="D78" s="126"/>
      <c r="E78" s="126"/>
      <c r="F78" s="126"/>
      <c r="G78" s="126"/>
      <c r="H78" s="126"/>
      <c r="I78" s="126"/>
      <c r="J78" s="126"/>
      <c r="K78" s="126"/>
      <c r="L78" s="126"/>
      <c r="M78" s="126"/>
    </row>
    <row r="79" spans="2:13" ht="27" customHeight="1">
      <c r="B79" s="125" t="s">
        <v>177</v>
      </c>
      <c r="C79" s="125"/>
      <c r="D79" s="126"/>
      <c r="E79" s="126"/>
      <c r="F79" s="126"/>
      <c r="G79" s="126"/>
      <c r="H79" s="126"/>
      <c r="I79" s="126"/>
      <c r="J79" s="126"/>
      <c r="K79" s="126"/>
      <c r="L79" s="126"/>
      <c r="M79" s="126"/>
    </row>
    <row r="81" spans="2:13" ht="30" customHeight="1">
      <c r="B81" s="130" t="s">
        <v>178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</row>
  </sheetData>
  <mergeCells count="129">
    <mergeCell ref="B81:M81"/>
    <mergeCell ref="B2:M2"/>
    <mergeCell ref="B3:M3"/>
    <mergeCell ref="D27:G27"/>
    <mergeCell ref="J27:M27"/>
    <mergeCell ref="F6:G6"/>
    <mergeCell ref="J6:K6"/>
    <mergeCell ref="H7:I7"/>
    <mergeCell ref="B5:M5"/>
    <mergeCell ref="B16:M16"/>
    <mergeCell ref="B26:M26"/>
    <mergeCell ref="B77:C77"/>
    <mergeCell ref="B78:C78"/>
    <mergeCell ref="B79:C79"/>
    <mergeCell ref="D77:M77"/>
    <mergeCell ref="D78:M78"/>
    <mergeCell ref="D79:M79"/>
    <mergeCell ref="B73:C73"/>
    <mergeCell ref="B76:C76"/>
    <mergeCell ref="D73:M73"/>
    <mergeCell ref="B75:M75"/>
    <mergeCell ref="D76:M76"/>
    <mergeCell ref="B70:C70"/>
    <mergeCell ref="B71:C71"/>
    <mergeCell ref="B72:C72"/>
    <mergeCell ref="D72:F72"/>
    <mergeCell ref="G72:H72"/>
    <mergeCell ref="D70:M70"/>
    <mergeCell ref="D71:M71"/>
    <mergeCell ref="I72:M72"/>
    <mergeCell ref="B66:C66"/>
    <mergeCell ref="B69:C69"/>
    <mergeCell ref="D69:F69"/>
    <mergeCell ref="G69:H69"/>
    <mergeCell ref="D66:M66"/>
    <mergeCell ref="B68:M68"/>
    <mergeCell ref="I69:M69"/>
    <mergeCell ref="B64:C64"/>
    <mergeCell ref="D64:F64"/>
    <mergeCell ref="G64:H64"/>
    <mergeCell ref="B65:C65"/>
    <mergeCell ref="I64:M64"/>
    <mergeCell ref="D65:M65"/>
    <mergeCell ref="B63:C63"/>
    <mergeCell ref="D63:F63"/>
    <mergeCell ref="G63:H63"/>
    <mergeCell ref="B62:M62"/>
    <mergeCell ref="I63:M63"/>
    <mergeCell ref="B53:C53"/>
    <mergeCell ref="H53:I53"/>
    <mergeCell ref="B57:C57"/>
    <mergeCell ref="F57:G57"/>
    <mergeCell ref="J57:K57"/>
    <mergeCell ref="B40:C40"/>
    <mergeCell ref="F40:G40"/>
    <mergeCell ref="J40:K40"/>
    <mergeCell ref="B49:C49"/>
    <mergeCell ref="H49:I49"/>
    <mergeCell ref="B48:M48"/>
    <mergeCell ref="B30:C30"/>
    <mergeCell ref="J30:K30"/>
    <mergeCell ref="B39:C39"/>
    <mergeCell ref="H39:I39"/>
    <mergeCell ref="B38:M38"/>
    <mergeCell ref="B8:C8"/>
    <mergeCell ref="B17:C17"/>
    <mergeCell ref="H17:I17"/>
    <mergeCell ref="B18:C18"/>
    <mergeCell ref="B27:C27"/>
    <mergeCell ref="H27:I27"/>
    <mergeCell ref="B6:C6"/>
    <mergeCell ref="B7:C7"/>
    <mergeCell ref="D58:M60"/>
    <mergeCell ref="B9:C11"/>
    <mergeCell ref="B12:C14"/>
    <mergeCell ref="B19:C21"/>
    <mergeCell ref="B22:C24"/>
    <mergeCell ref="B31:C33"/>
    <mergeCell ref="B34:C36"/>
    <mergeCell ref="B41:C43"/>
    <mergeCell ref="B44:C46"/>
    <mergeCell ref="B50:C52"/>
    <mergeCell ref="B54:C56"/>
    <mergeCell ref="B58:C60"/>
    <mergeCell ref="B28:C28"/>
    <mergeCell ref="J28:K28"/>
    <mergeCell ref="B29:C29"/>
    <mergeCell ref="D53:G53"/>
    <mergeCell ref="J53:M53"/>
    <mergeCell ref="D54:M56"/>
    <mergeCell ref="D57:E57"/>
    <mergeCell ref="H57:I57"/>
    <mergeCell ref="L57:M57"/>
    <mergeCell ref="D41:M43"/>
    <mergeCell ref="D44:M46"/>
    <mergeCell ref="D49:G49"/>
    <mergeCell ref="J49:M49"/>
    <mergeCell ref="D50:M52"/>
    <mergeCell ref="D39:G39"/>
    <mergeCell ref="J39:M39"/>
    <mergeCell ref="D40:E40"/>
    <mergeCell ref="H40:I40"/>
    <mergeCell ref="L40:M40"/>
    <mergeCell ref="D30:E30"/>
    <mergeCell ref="H30:I30"/>
    <mergeCell ref="L30:M30"/>
    <mergeCell ref="D31:M33"/>
    <mergeCell ref="D34:M36"/>
    <mergeCell ref="D28:E28"/>
    <mergeCell ref="H28:I28"/>
    <mergeCell ref="L28:M28"/>
    <mergeCell ref="D29:E29"/>
    <mergeCell ref="H29:I29"/>
    <mergeCell ref="L29:M29"/>
    <mergeCell ref="F29:G29"/>
    <mergeCell ref="J29:K29"/>
    <mergeCell ref="D18:M18"/>
    <mergeCell ref="D19:M21"/>
    <mergeCell ref="D22:M24"/>
    <mergeCell ref="D8:M8"/>
    <mergeCell ref="D9:M11"/>
    <mergeCell ref="D12:M14"/>
    <mergeCell ref="D17:G17"/>
    <mergeCell ref="J17:M17"/>
    <mergeCell ref="D6:E6"/>
    <mergeCell ref="H6:I6"/>
    <mergeCell ref="L6:M6"/>
    <mergeCell ref="D7:G7"/>
    <mergeCell ref="J7:M7"/>
  </mergeCells>
  <dataValidations count="1">
    <dataValidation type="whole" sqref="D30 H30" xr:uid="{00000000-0002-0000-0200-000008000000}">
      <formula1>1</formula1>
      <formula2>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200-000000000000}">
          <x14:formula1>
            <xm:f>Catálogos!$C$2:$C$5</xm:f>
          </x14:formula1>
          <xm:sqref>L6:M6</xm:sqref>
        </x14:dataValidation>
        <x14:dataValidation type="list" xr:uid="{00000000-0002-0000-0200-000001000000}">
          <x14:formula1>
            <xm:f>Catálogos!$A$2:$A$8</xm:f>
          </x14:formula1>
          <xm:sqref>J7:M7</xm:sqref>
        </x14:dataValidation>
        <x14:dataValidation type="list" xr:uid="{00000000-0002-0000-0200-000002000000}">
          <x14:formula1>
            <xm:f>Catálogos!$I$2:$I$5</xm:f>
          </x14:formula1>
          <xm:sqref>D28:D29 L28:L29 H28:H29</xm:sqref>
        </x14:dataValidation>
        <x14:dataValidation type="list" xr:uid="{00000000-0002-0000-0200-00000A000000}">
          <x14:formula1>
            <xm:f>Catálogos!$F$2:$F$5</xm:f>
          </x14:formula1>
          <xm:sqref>J39:M39</xm:sqref>
        </x14:dataValidation>
        <x14:dataValidation type="list" xr:uid="{00000000-0002-0000-0200-00000B000000}">
          <x14:formula1>
            <xm:f>Catálogos!$H$2:$H$6</xm:f>
          </x14:formula1>
          <xm:sqref>J53:M53</xm:sqref>
        </x14:dataValidation>
        <x14:dataValidation type="list" xr:uid="{00000000-0002-0000-0200-00000C000000}">
          <x14:formula1>
            <xm:f>Catálogos!$G$2:$G$11</xm:f>
          </x14:formula1>
          <xm:sqref>L57:M57</xm:sqref>
        </x14:dataValidation>
        <x14:dataValidation type="list" xr:uid="{00000000-0002-0000-0200-00000D000000}">
          <x14:formula1>
            <xm:f>Catálogos!$K$2:$K$8</xm:f>
          </x14:formula1>
          <xm:sqref>D7:G7 D53:G53 D49:G49 D39:G39 D27:G27</xm:sqref>
        </x14:dataValidation>
        <x14:dataValidation type="list" xr:uid="{00000000-0002-0000-0200-000012000000}">
          <x14:formula1>
            <xm:f>Catálogos!$M$2:$M$4</xm:f>
          </x14:formula1>
          <xm:sqref>D69:F69</xm:sqref>
        </x14:dataValidation>
        <x14:dataValidation type="list" xr:uid="{00000000-0002-0000-0200-000013000000}">
          <x14:formula1>
            <xm:f>Catálogos!$N$2:$N$4</xm:f>
          </x14:formula1>
          <xm:sqref>D72:F72</xm:sqref>
        </x14:dataValidation>
        <x14:dataValidation type="list" xr:uid="{00000000-0002-0000-0200-000014000000}">
          <x14:formula1>
            <xm:f>Catálogos!$O$2:$O$5</xm:f>
          </x14:formula1>
          <xm:sqref>I72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O12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0" width="23" customWidth="1"/>
    <col min="11" max="11" width="31" customWidth="1"/>
    <col min="12" max="12" width="23" customWidth="1"/>
    <col min="13" max="15" width="21" customWidth="1"/>
  </cols>
  <sheetData>
    <row r="1" spans="1:15">
      <c r="A1" s="1" t="s">
        <v>179</v>
      </c>
      <c r="B1" s="1" t="s">
        <v>96</v>
      </c>
      <c r="C1" s="1" t="s">
        <v>101</v>
      </c>
      <c r="D1" s="1" t="s">
        <v>102</v>
      </c>
      <c r="E1" s="1" t="s">
        <v>180</v>
      </c>
      <c r="F1" s="1" t="s">
        <v>114</v>
      </c>
      <c r="G1" s="1" t="s">
        <v>41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34" t="s">
        <v>186</v>
      </c>
      <c r="N1" s="35" t="s">
        <v>133</v>
      </c>
      <c r="O1" s="36" t="s">
        <v>134</v>
      </c>
    </row>
    <row r="2" spans="1:15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190</v>
      </c>
      <c r="F2" s="2" t="s">
        <v>191</v>
      </c>
      <c r="G2" s="2" t="s">
        <v>192</v>
      </c>
      <c r="H2" s="2" t="s">
        <v>77</v>
      </c>
      <c r="I2" s="2" t="s">
        <v>193</v>
      </c>
      <c r="J2" s="2">
        <v>1</v>
      </c>
      <c r="K2" s="2" t="s">
        <v>64</v>
      </c>
      <c r="L2" s="2" t="s">
        <v>10</v>
      </c>
      <c r="M2" s="17" t="s">
        <v>194</v>
      </c>
      <c r="N2" s="18" t="s">
        <v>194</v>
      </c>
      <c r="O2" s="19" t="s">
        <v>195</v>
      </c>
    </row>
    <row r="3" spans="1:15">
      <c r="A3" s="2" t="s">
        <v>196</v>
      </c>
      <c r="B3" s="2" t="s">
        <v>197</v>
      </c>
      <c r="C3" s="2" t="s">
        <v>198</v>
      </c>
      <c r="D3" s="2" t="s">
        <v>199</v>
      </c>
      <c r="E3" s="2" t="s">
        <v>199</v>
      </c>
      <c r="F3" s="2" t="s">
        <v>200</v>
      </c>
      <c r="G3" s="2" t="s">
        <v>13</v>
      </c>
      <c r="H3" s="2" t="s">
        <v>195</v>
      </c>
      <c r="I3" s="2" t="s">
        <v>201</v>
      </c>
      <c r="J3" s="2">
        <v>2</v>
      </c>
      <c r="K3" s="2" t="s">
        <v>63</v>
      </c>
      <c r="L3" s="2" t="s">
        <v>113</v>
      </c>
      <c r="M3" s="20" t="s">
        <v>202</v>
      </c>
      <c r="N3" s="7" t="s">
        <v>202</v>
      </c>
      <c r="O3" s="21" t="s">
        <v>203</v>
      </c>
    </row>
    <row r="4" spans="1:15">
      <c r="A4" s="2" t="s">
        <v>204</v>
      </c>
      <c r="B4" s="2" t="s">
        <v>205</v>
      </c>
      <c r="C4" s="2" t="s">
        <v>206</v>
      </c>
      <c r="D4" s="2" t="s">
        <v>207</v>
      </c>
      <c r="E4" s="2" t="s">
        <v>207</v>
      </c>
      <c r="F4" s="2" t="s">
        <v>208</v>
      </c>
      <c r="G4" s="2" t="s">
        <v>209</v>
      </c>
      <c r="H4" s="2" t="s">
        <v>203</v>
      </c>
      <c r="I4" s="2" t="s">
        <v>210</v>
      </c>
      <c r="J4" s="2">
        <v>3</v>
      </c>
      <c r="K4" s="2" t="s">
        <v>72</v>
      </c>
      <c r="L4" s="2" t="s">
        <v>45</v>
      </c>
      <c r="M4" s="20" t="s">
        <v>211</v>
      </c>
      <c r="N4" s="7" t="s">
        <v>211</v>
      </c>
      <c r="O4" s="21" t="s">
        <v>212</v>
      </c>
    </row>
    <row r="5" spans="1:15">
      <c r="A5" s="2" t="s">
        <v>213</v>
      </c>
      <c r="B5" s="2" t="s">
        <v>214</v>
      </c>
      <c r="C5" s="2" t="s">
        <v>215</v>
      </c>
      <c r="D5" s="2"/>
      <c r="E5" s="2"/>
      <c r="F5" s="2" t="s">
        <v>216</v>
      </c>
      <c r="G5" s="2" t="s">
        <v>217</v>
      </c>
      <c r="H5" s="2" t="s">
        <v>212</v>
      </c>
      <c r="I5" s="2" t="s">
        <v>218</v>
      </c>
      <c r="J5" s="2">
        <v>4</v>
      </c>
      <c r="K5" s="2" t="s">
        <v>219</v>
      </c>
      <c r="L5" s="2" t="s">
        <v>162</v>
      </c>
      <c r="M5" s="22"/>
      <c r="N5" s="23"/>
      <c r="O5" s="24" t="s">
        <v>211</v>
      </c>
    </row>
    <row r="6" spans="1:15">
      <c r="A6" s="2" t="s">
        <v>220</v>
      </c>
      <c r="B6" s="2" t="s">
        <v>221</v>
      </c>
      <c r="C6" s="2"/>
      <c r="D6" s="2"/>
      <c r="E6" s="2"/>
      <c r="F6" s="2"/>
      <c r="G6" s="2" t="s">
        <v>222</v>
      </c>
      <c r="H6" s="2" t="s">
        <v>211</v>
      </c>
      <c r="I6" s="2"/>
      <c r="J6" s="2">
        <v>5</v>
      </c>
      <c r="K6" s="2" t="s">
        <v>223</v>
      </c>
      <c r="L6" s="2" t="s">
        <v>118</v>
      </c>
    </row>
    <row r="7" spans="1:15">
      <c r="A7" s="2" t="s">
        <v>224</v>
      </c>
      <c r="B7" s="2" t="s">
        <v>225</v>
      </c>
      <c r="C7" s="2"/>
      <c r="D7" s="2"/>
      <c r="E7" s="2"/>
      <c r="F7" s="2"/>
      <c r="G7" s="2" t="s">
        <v>226</v>
      </c>
      <c r="H7" s="2"/>
      <c r="I7" s="2"/>
      <c r="J7" s="2"/>
      <c r="K7" s="2" t="s">
        <v>76</v>
      </c>
      <c r="L7" s="2"/>
    </row>
    <row r="8" spans="1:15">
      <c r="A8" s="2" t="s">
        <v>227</v>
      </c>
      <c r="B8" s="2" t="s">
        <v>228</v>
      </c>
      <c r="C8" s="2"/>
      <c r="D8" s="2"/>
      <c r="E8" s="2"/>
      <c r="F8" s="2"/>
      <c r="G8" s="2" t="s">
        <v>31</v>
      </c>
      <c r="H8" s="2"/>
      <c r="I8" s="2"/>
      <c r="J8" s="2"/>
      <c r="K8" s="2" t="s">
        <v>75</v>
      </c>
      <c r="L8" s="2"/>
    </row>
    <row r="9" spans="1:15">
      <c r="A9" s="2"/>
      <c r="B9" s="2"/>
      <c r="C9" s="2"/>
      <c r="D9" s="2"/>
      <c r="E9" s="2"/>
      <c r="F9" s="2"/>
      <c r="G9" s="2" t="s">
        <v>37</v>
      </c>
      <c r="H9" s="2"/>
      <c r="I9" s="2"/>
      <c r="J9" s="2"/>
      <c r="K9" s="2"/>
      <c r="L9" s="2"/>
    </row>
    <row r="10" spans="1:15">
      <c r="A10" s="2"/>
      <c r="B10" s="2"/>
      <c r="C10" s="2"/>
      <c r="D10" s="2"/>
      <c r="E10" s="2"/>
      <c r="F10" s="2"/>
      <c r="G10" s="2" t="s">
        <v>229</v>
      </c>
      <c r="H10" s="2"/>
      <c r="I10" s="2"/>
      <c r="J10" s="2"/>
      <c r="K10" s="2"/>
      <c r="L10" s="2"/>
    </row>
    <row r="11" spans="1:15">
      <c r="A11" s="2"/>
      <c r="B11" s="2"/>
      <c r="C11" s="2"/>
      <c r="D11" s="2"/>
      <c r="E11" s="2"/>
      <c r="F11" s="2"/>
      <c r="G11" s="2" t="s">
        <v>230</v>
      </c>
      <c r="H11" s="2"/>
      <c r="I11" s="2"/>
      <c r="J11" s="2"/>
      <c r="K11" s="2"/>
      <c r="L11" s="2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Registro de cambios</vt:lpstr>
      <vt:lpstr>Solicitud de cambio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2026-09-15T20:47:58Z</dcterms:modified>
</cp:coreProperties>
</file>