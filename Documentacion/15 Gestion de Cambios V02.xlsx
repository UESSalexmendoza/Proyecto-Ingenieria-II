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exMendoza\Downloads\"/>
    </mc:Choice>
  </mc:AlternateContent>
  <xr:revisionPtr revIDLastSave="0" documentId="13_ncr:1_{CBB0678A-3FF3-4AC4-BA1D-A8BCC81092ED}" xr6:coauthVersionLast="47" xr6:coauthVersionMax="47" xr10:uidLastSave="{00000000-0000-0000-0000-000000000000}"/>
  <bookViews>
    <workbookView xWindow="28680" yWindow="630" windowWidth="29040" windowHeight="15720" activeTab="3" xr2:uid="{00000000-000D-0000-FFFF-FFFF00000000}"/>
  </bookViews>
  <sheets>
    <sheet name="Guía de uso" sheetId="4" r:id="rId1"/>
    <sheet name="Resumen" sheetId="1" r:id="rId2"/>
    <sheet name="Registro de cambios" sheetId="2" r:id="rId3"/>
    <sheet name="Solicitud de cambio" sheetId="3" r:id="rId4"/>
    <sheet name="Catálogos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3" l="1"/>
  <c r="O214" i="2"/>
  <c r="P214" i="2" s="1"/>
  <c r="O213" i="2"/>
  <c r="P213" i="2" s="1"/>
  <c r="O212" i="2"/>
  <c r="P212" i="2" s="1"/>
  <c r="O211" i="2"/>
  <c r="P211" i="2" s="1"/>
  <c r="O210" i="2"/>
  <c r="P210" i="2" s="1"/>
  <c r="O209" i="2"/>
  <c r="P209" i="2" s="1"/>
  <c r="O208" i="2"/>
  <c r="P208" i="2" s="1"/>
  <c r="O207" i="2"/>
  <c r="P207" i="2" s="1"/>
  <c r="O206" i="2"/>
  <c r="P206" i="2" s="1"/>
  <c r="O205" i="2"/>
  <c r="P205" i="2" s="1"/>
  <c r="O204" i="2"/>
  <c r="P204" i="2" s="1"/>
  <c r="O203" i="2"/>
  <c r="P203" i="2" s="1"/>
  <c r="O202" i="2"/>
  <c r="P202" i="2" s="1"/>
  <c r="O201" i="2"/>
  <c r="P201" i="2" s="1"/>
  <c r="O200" i="2"/>
  <c r="P200" i="2" s="1"/>
  <c r="O199" i="2"/>
  <c r="P199" i="2" s="1"/>
  <c r="O198" i="2"/>
  <c r="P198" i="2" s="1"/>
  <c r="O197" i="2"/>
  <c r="P197" i="2" s="1"/>
  <c r="O196" i="2"/>
  <c r="P196" i="2" s="1"/>
  <c r="O195" i="2"/>
  <c r="P195" i="2" s="1"/>
  <c r="P194" i="2"/>
  <c r="O194" i="2"/>
  <c r="O193" i="2"/>
  <c r="P193" i="2" s="1"/>
  <c r="O192" i="2"/>
  <c r="P192" i="2" s="1"/>
  <c r="O191" i="2"/>
  <c r="P191" i="2" s="1"/>
  <c r="O190" i="2"/>
  <c r="P190" i="2" s="1"/>
  <c r="O189" i="2"/>
  <c r="P189" i="2" s="1"/>
  <c r="O188" i="2"/>
  <c r="P188" i="2" s="1"/>
  <c r="O187" i="2"/>
  <c r="P187" i="2" s="1"/>
  <c r="O186" i="2"/>
  <c r="P186" i="2" s="1"/>
  <c r="O185" i="2"/>
  <c r="P185" i="2" s="1"/>
  <c r="O184" i="2"/>
  <c r="P184" i="2" s="1"/>
  <c r="O183" i="2"/>
  <c r="P183" i="2" s="1"/>
  <c r="O182" i="2"/>
  <c r="P182" i="2" s="1"/>
  <c r="O181" i="2"/>
  <c r="P181" i="2" s="1"/>
  <c r="O180" i="2"/>
  <c r="P180" i="2" s="1"/>
  <c r="O179" i="2"/>
  <c r="P179" i="2" s="1"/>
  <c r="O178" i="2"/>
  <c r="P178" i="2" s="1"/>
  <c r="O177" i="2"/>
  <c r="P177" i="2" s="1"/>
  <c r="O176" i="2"/>
  <c r="P176" i="2" s="1"/>
  <c r="O175" i="2"/>
  <c r="P175" i="2" s="1"/>
  <c r="O174" i="2"/>
  <c r="P174" i="2" s="1"/>
  <c r="P173" i="2"/>
  <c r="O173" i="2"/>
  <c r="O172" i="2"/>
  <c r="P172" i="2" s="1"/>
  <c r="O171" i="2"/>
  <c r="P171" i="2" s="1"/>
  <c r="O170" i="2"/>
  <c r="P170" i="2" s="1"/>
  <c r="O169" i="2"/>
  <c r="P169" i="2" s="1"/>
  <c r="O168" i="2"/>
  <c r="P168" i="2" s="1"/>
  <c r="O167" i="2"/>
  <c r="P167" i="2" s="1"/>
  <c r="O166" i="2"/>
  <c r="P166" i="2" s="1"/>
  <c r="O165" i="2"/>
  <c r="P165" i="2" s="1"/>
  <c r="O164" i="2"/>
  <c r="P164" i="2" s="1"/>
  <c r="O163" i="2"/>
  <c r="P163" i="2" s="1"/>
  <c r="O162" i="2"/>
  <c r="P162" i="2" s="1"/>
  <c r="O161" i="2"/>
  <c r="P161" i="2" s="1"/>
  <c r="O160" i="2"/>
  <c r="P160" i="2" s="1"/>
  <c r="O159" i="2"/>
  <c r="P159" i="2" s="1"/>
  <c r="O158" i="2"/>
  <c r="P158" i="2" s="1"/>
  <c r="O157" i="2"/>
  <c r="P157" i="2" s="1"/>
  <c r="O156" i="2"/>
  <c r="P156" i="2" s="1"/>
  <c r="O155" i="2"/>
  <c r="P155" i="2" s="1"/>
  <c r="O154" i="2"/>
  <c r="P154" i="2" s="1"/>
  <c r="O153" i="2"/>
  <c r="P153" i="2" s="1"/>
  <c r="P152" i="2"/>
  <c r="O152" i="2"/>
  <c r="O151" i="2"/>
  <c r="P151" i="2" s="1"/>
  <c r="O150" i="2"/>
  <c r="P150" i="2" s="1"/>
  <c r="O149" i="2"/>
  <c r="P149" i="2" s="1"/>
  <c r="O148" i="2"/>
  <c r="P148" i="2" s="1"/>
  <c r="O147" i="2"/>
  <c r="P147" i="2" s="1"/>
  <c r="O146" i="2"/>
  <c r="P146" i="2" s="1"/>
  <c r="O145" i="2"/>
  <c r="P145" i="2" s="1"/>
  <c r="O144" i="2"/>
  <c r="P144" i="2" s="1"/>
  <c r="O143" i="2"/>
  <c r="P143" i="2" s="1"/>
  <c r="O142" i="2"/>
  <c r="P142" i="2" s="1"/>
  <c r="O141" i="2"/>
  <c r="P141" i="2" s="1"/>
  <c r="O140" i="2"/>
  <c r="P140" i="2" s="1"/>
  <c r="O139" i="2"/>
  <c r="P139" i="2" s="1"/>
  <c r="O138" i="2"/>
  <c r="P138" i="2" s="1"/>
  <c r="O137" i="2"/>
  <c r="P137" i="2" s="1"/>
  <c r="O136" i="2"/>
  <c r="P136" i="2" s="1"/>
  <c r="O135" i="2"/>
  <c r="P135" i="2" s="1"/>
  <c r="O134" i="2"/>
  <c r="P134" i="2" s="1"/>
  <c r="O133" i="2"/>
  <c r="P133" i="2" s="1"/>
  <c r="O132" i="2"/>
  <c r="P132" i="2" s="1"/>
  <c r="O131" i="2"/>
  <c r="P131" i="2" s="1"/>
  <c r="O130" i="2"/>
  <c r="P130" i="2" s="1"/>
  <c r="O129" i="2"/>
  <c r="P129" i="2" s="1"/>
  <c r="O128" i="2"/>
  <c r="P128" i="2" s="1"/>
  <c r="O127" i="2"/>
  <c r="P127" i="2" s="1"/>
  <c r="O126" i="2"/>
  <c r="P126" i="2" s="1"/>
  <c r="O125" i="2"/>
  <c r="P125" i="2" s="1"/>
  <c r="O124" i="2"/>
  <c r="P124" i="2" s="1"/>
  <c r="O123" i="2"/>
  <c r="P123" i="2" s="1"/>
  <c r="O122" i="2"/>
  <c r="P122" i="2" s="1"/>
  <c r="O121" i="2"/>
  <c r="P121" i="2" s="1"/>
  <c r="O120" i="2"/>
  <c r="P120" i="2" s="1"/>
  <c r="O119" i="2"/>
  <c r="P119" i="2" s="1"/>
  <c r="O118" i="2"/>
  <c r="P118" i="2" s="1"/>
  <c r="O117" i="2"/>
  <c r="P117" i="2" s="1"/>
  <c r="O116" i="2"/>
  <c r="P116" i="2" s="1"/>
  <c r="O115" i="2"/>
  <c r="P115" i="2" s="1"/>
  <c r="O114" i="2"/>
  <c r="P114" i="2" s="1"/>
  <c r="O113" i="2"/>
  <c r="P113" i="2" s="1"/>
  <c r="O112" i="2"/>
  <c r="P112" i="2" s="1"/>
  <c r="O111" i="2"/>
  <c r="P111" i="2" s="1"/>
  <c r="O110" i="2"/>
  <c r="P110" i="2" s="1"/>
  <c r="O109" i="2"/>
  <c r="P109" i="2" s="1"/>
  <c r="O108" i="2"/>
  <c r="P108" i="2" s="1"/>
  <c r="O107" i="2"/>
  <c r="P107" i="2" s="1"/>
  <c r="O106" i="2"/>
  <c r="P106" i="2" s="1"/>
  <c r="O105" i="2"/>
  <c r="P105" i="2" s="1"/>
  <c r="O104" i="2"/>
  <c r="P104" i="2" s="1"/>
  <c r="O103" i="2"/>
  <c r="P103" i="2" s="1"/>
  <c r="O102" i="2"/>
  <c r="P102" i="2" s="1"/>
  <c r="O101" i="2"/>
  <c r="P101" i="2" s="1"/>
  <c r="O100" i="2"/>
  <c r="P100" i="2" s="1"/>
  <c r="O99" i="2"/>
  <c r="P99" i="2" s="1"/>
  <c r="O98" i="2"/>
  <c r="P98" i="2" s="1"/>
  <c r="O97" i="2"/>
  <c r="P97" i="2" s="1"/>
  <c r="O96" i="2"/>
  <c r="P96" i="2" s="1"/>
  <c r="O95" i="2"/>
  <c r="P95" i="2" s="1"/>
  <c r="O94" i="2"/>
  <c r="P94" i="2" s="1"/>
  <c r="O93" i="2"/>
  <c r="P93" i="2" s="1"/>
  <c r="O92" i="2"/>
  <c r="P92" i="2" s="1"/>
  <c r="O91" i="2"/>
  <c r="P91" i="2" s="1"/>
  <c r="O90" i="2"/>
  <c r="P90" i="2" s="1"/>
  <c r="P89" i="2"/>
  <c r="O89" i="2"/>
  <c r="O88" i="2"/>
  <c r="P88" i="2" s="1"/>
  <c r="O87" i="2"/>
  <c r="P87" i="2" s="1"/>
  <c r="O86" i="2"/>
  <c r="P86" i="2" s="1"/>
  <c r="O85" i="2"/>
  <c r="P85" i="2" s="1"/>
  <c r="O84" i="2"/>
  <c r="P84" i="2" s="1"/>
  <c r="O83" i="2"/>
  <c r="P83" i="2" s="1"/>
  <c r="O82" i="2"/>
  <c r="P82" i="2" s="1"/>
  <c r="O81" i="2"/>
  <c r="P81" i="2" s="1"/>
  <c r="O80" i="2"/>
  <c r="P80" i="2" s="1"/>
  <c r="O79" i="2"/>
  <c r="P79" i="2" s="1"/>
  <c r="O78" i="2"/>
  <c r="P78" i="2" s="1"/>
  <c r="O77" i="2"/>
  <c r="P77" i="2" s="1"/>
  <c r="O76" i="2"/>
  <c r="P76" i="2" s="1"/>
  <c r="O75" i="2"/>
  <c r="P75" i="2" s="1"/>
  <c r="O74" i="2"/>
  <c r="P74" i="2" s="1"/>
  <c r="O73" i="2"/>
  <c r="P73" i="2" s="1"/>
  <c r="O72" i="2"/>
  <c r="P72" i="2" s="1"/>
  <c r="O71" i="2"/>
  <c r="P71" i="2" s="1"/>
  <c r="O70" i="2"/>
  <c r="P70" i="2" s="1"/>
  <c r="O69" i="2"/>
  <c r="P69" i="2" s="1"/>
  <c r="O68" i="2"/>
  <c r="P68" i="2" s="1"/>
  <c r="O67" i="2"/>
  <c r="P67" i="2" s="1"/>
  <c r="O66" i="2"/>
  <c r="P66" i="2" s="1"/>
  <c r="O65" i="2"/>
  <c r="P65" i="2" s="1"/>
  <c r="O64" i="2"/>
  <c r="P64" i="2" s="1"/>
  <c r="O63" i="2"/>
  <c r="P63" i="2" s="1"/>
  <c r="O62" i="2"/>
  <c r="P62" i="2" s="1"/>
  <c r="O61" i="2"/>
  <c r="P61" i="2" s="1"/>
  <c r="O60" i="2"/>
  <c r="P60" i="2" s="1"/>
  <c r="O59" i="2"/>
  <c r="P59" i="2" s="1"/>
  <c r="O58" i="2"/>
  <c r="P58" i="2" s="1"/>
  <c r="O57" i="2"/>
  <c r="P57" i="2" s="1"/>
  <c r="O56" i="2"/>
  <c r="P56" i="2" s="1"/>
  <c r="O55" i="2"/>
  <c r="P55" i="2" s="1"/>
  <c r="O54" i="2"/>
  <c r="P54" i="2" s="1"/>
  <c r="O53" i="2"/>
  <c r="P53" i="2" s="1"/>
  <c r="O52" i="2"/>
  <c r="P52" i="2" s="1"/>
  <c r="O51" i="2"/>
  <c r="P51" i="2" s="1"/>
  <c r="O50" i="2"/>
  <c r="P50" i="2" s="1"/>
  <c r="O49" i="2"/>
  <c r="P49" i="2" s="1"/>
  <c r="O48" i="2"/>
  <c r="P48" i="2" s="1"/>
  <c r="O47" i="2"/>
  <c r="P47" i="2" s="1"/>
  <c r="O46" i="2"/>
  <c r="P46" i="2" s="1"/>
  <c r="O45" i="2"/>
  <c r="P45" i="2" s="1"/>
  <c r="O44" i="2"/>
  <c r="P44" i="2" s="1"/>
  <c r="O43" i="2"/>
  <c r="P43" i="2" s="1"/>
  <c r="O42" i="2"/>
  <c r="P42" i="2" s="1"/>
  <c r="O41" i="2"/>
  <c r="P41" i="2" s="1"/>
  <c r="O40" i="2"/>
  <c r="P40" i="2" s="1"/>
  <c r="O39" i="2"/>
  <c r="P39" i="2" s="1"/>
  <c r="O38" i="2"/>
  <c r="P38" i="2" s="1"/>
  <c r="O37" i="2"/>
  <c r="P37" i="2" s="1"/>
  <c r="O36" i="2"/>
  <c r="P36" i="2" s="1"/>
  <c r="O35" i="2"/>
  <c r="P35" i="2" s="1"/>
  <c r="O34" i="2"/>
  <c r="P34" i="2" s="1"/>
  <c r="O33" i="2"/>
  <c r="P33" i="2" s="1"/>
  <c r="O32" i="2"/>
  <c r="P32" i="2" s="1"/>
  <c r="O31" i="2"/>
  <c r="P31" i="2" s="1"/>
  <c r="O30" i="2"/>
  <c r="P30" i="2" s="1"/>
  <c r="O29" i="2"/>
  <c r="P29" i="2" s="1"/>
  <c r="O28" i="2"/>
  <c r="P28" i="2" s="1"/>
  <c r="O27" i="2"/>
  <c r="P27" i="2" s="1"/>
  <c r="O26" i="2"/>
  <c r="P26" i="2" s="1"/>
  <c r="O25" i="2"/>
  <c r="P25" i="2" s="1"/>
  <c r="O24" i="2"/>
  <c r="P24" i="2" s="1"/>
  <c r="O23" i="2"/>
  <c r="P23" i="2" s="1"/>
  <c r="O22" i="2"/>
  <c r="P22" i="2" s="1"/>
  <c r="O21" i="2"/>
  <c r="P21" i="2" s="1"/>
  <c r="O20" i="2"/>
  <c r="P20" i="2" s="1"/>
  <c r="O19" i="2"/>
  <c r="P19" i="2" s="1"/>
  <c r="O18" i="2"/>
  <c r="P18" i="2" s="1"/>
  <c r="O17" i="2"/>
  <c r="P17" i="2" s="1"/>
  <c r="O16" i="2"/>
  <c r="P16" i="2" s="1"/>
  <c r="O15" i="2"/>
  <c r="P15" i="2" s="1"/>
  <c r="K9" i="2"/>
  <c r="I9" i="2"/>
  <c r="L9" i="2" s="1"/>
  <c r="H9" i="2"/>
  <c r="G9" i="2"/>
  <c r="F9" i="2"/>
  <c r="E9" i="2"/>
  <c r="D9" i="2"/>
  <c r="C9" i="2"/>
  <c r="B9" i="2"/>
  <c r="A9" i="2"/>
  <c r="C14" i="1"/>
  <c r="C13" i="1"/>
  <c r="C12" i="1"/>
  <c r="C11" i="1"/>
  <c r="C10" i="1"/>
  <c r="C9" i="1"/>
  <c r="C8" i="1"/>
  <c r="C7" i="1"/>
  <c r="J9" i="2" l="1"/>
</calcChain>
</file>

<file path=xl/sharedStrings.xml><?xml version="1.0" encoding="utf-8"?>
<sst xmlns="http://schemas.openxmlformats.org/spreadsheetml/2006/main" count="266" uniqueCount="220">
  <si>
    <t>Formato intermedio: control suficiente para auditoría, sin duplicar el detalle técnico de Jira ni del repositorio.</t>
  </si>
  <si>
    <t>Indicador</t>
  </si>
  <si>
    <t>Resultado</t>
  </si>
  <si>
    <t>Uso</t>
  </si>
  <si>
    <t>Etapa</t>
  </si>
  <si>
    <t>Responsable</t>
  </si>
  <si>
    <t>Registro mínimo</t>
  </si>
  <si>
    <t>Plazo orientativo</t>
  </si>
  <si>
    <t>Total de solicitudes</t>
  </si>
  <si>
    <t>Volumen registrado</t>
  </si>
  <si>
    <t>1. Registrar</t>
  </si>
  <si>
    <t>Solicitante</t>
  </si>
  <si>
    <t>Necesidad, justificación y referencia afectada</t>
  </si>
  <si>
    <t>Al identificar el cambio</t>
  </si>
  <si>
    <t>En análisis</t>
  </si>
  <si>
    <t>Requiere análisis</t>
  </si>
  <si>
    <t>2. Analizar</t>
  </si>
  <si>
    <t>Analista / equipo</t>
  </si>
  <si>
    <t>Impactos, riesgo, esfuerzo y costo</t>
  </si>
  <si>
    <t>Antes de decidir</t>
  </si>
  <si>
    <t>Pendientes de aprobación</t>
  </si>
  <si>
    <t>Requiere decisión</t>
  </si>
  <si>
    <t>3. Decidir</t>
  </si>
  <si>
    <t>Product Owner / Scrum Master</t>
  </si>
  <si>
    <t>Decisión, condiciones y fecha objetivo</t>
  </si>
  <si>
    <t>Hasta 72 horas</t>
  </si>
  <si>
    <t>Aprobadas</t>
  </si>
  <si>
    <t>Cambio autorizado</t>
  </si>
  <si>
    <t>4. Implementar</t>
  </si>
  <si>
    <t>Responsable asignado</t>
  </si>
  <si>
    <t>Resultado y evidencia</t>
  </si>
  <si>
    <t>Según fecha objetivo</t>
  </si>
  <si>
    <t>En implementación</t>
  </si>
  <si>
    <t>Trabajo en curso</t>
  </si>
  <si>
    <t>5. Validar</t>
  </si>
  <si>
    <t>QA / Product Owner</t>
  </si>
  <si>
    <t>Resultado de pruebas o revisión</t>
  </si>
  <si>
    <t>Antes del cierre</t>
  </si>
  <si>
    <t>En validación</t>
  </si>
  <si>
    <t>Requiere conformidad</t>
  </si>
  <si>
    <t>6. Cerrar</t>
  </si>
  <si>
    <t>Scrum Master</t>
  </si>
  <si>
    <t>Versión, fecha y observaciones</t>
  </si>
  <si>
    <t>Después de validar</t>
  </si>
  <si>
    <t>Cerradas</t>
  </si>
  <si>
    <t>Trazabilidad completa</t>
  </si>
  <si>
    <t>Vencidas abiertas</t>
  </si>
  <si>
    <t>Requiere seguimiento</t>
  </si>
  <si>
    <t>Identificación y control de versión</t>
  </si>
  <si>
    <t>Documento</t>
  </si>
  <si>
    <t>Formato de Gestión de Cambios</t>
  </si>
  <si>
    <t>Versión</t>
  </si>
  <si>
    <t>Fecha</t>
  </si>
  <si>
    <t>Descripción</t>
  </si>
  <si>
    <t>Estado</t>
  </si>
  <si>
    <t>Proyecto</t>
  </si>
  <si>
    <t>Barrio Solidario</t>
  </si>
  <si>
    <t>0.9.0</t>
  </si>
  <si>
    <t>Revisión integral del formato</t>
  </si>
  <si>
    <t>Alex Mendoza</t>
  </si>
  <si>
    <t>Revisado</t>
  </si>
  <si>
    <t>Versión vigente</t>
  </si>
  <si>
    <t>1.2.0</t>
  </si>
  <si>
    <t>1.0.0</t>
  </si>
  <si>
    <t>Versión consolidada del Sprint 3</t>
  </si>
  <si>
    <t>Alex Mendoza / Kevin Carriel</t>
  </si>
  <si>
    <t>Completado</t>
  </si>
  <si>
    <t>En revisión</t>
  </si>
  <si>
    <t>1.1.0</t>
  </si>
  <si>
    <t>Ampliación de datos, QA y constancias</t>
  </si>
  <si>
    <t>Fecha de actualización</t>
  </si>
  <si>
    <t>Simplificación: 29 campos esenciales, formulario breve y guía de uso</t>
  </si>
  <si>
    <t>Propietario</t>
  </si>
  <si>
    <t>Víctor Tello Bravo / Product Owner</t>
  </si>
  <si>
    <t>Consolidación</t>
  </si>
  <si>
    <t>Alex Mendoza Morante / Scrum Master</t>
  </si>
  <si>
    <t>Registro y seguimiento de solicitudes de cambio</t>
  </si>
  <si>
    <t>Un renglón por solicitud. El detalle técnico permanece en Jira, Git o la evidencia enlazada.</t>
  </si>
  <si>
    <t>CONTROL GENERAL</t>
  </si>
  <si>
    <t>Total</t>
  </si>
  <si>
    <t>Pend. aprobación</t>
  </si>
  <si>
    <t>Aprobados</t>
  </si>
  <si>
    <t>Cerrados</t>
  </si>
  <si>
    <t>Rechazados</t>
  </si>
  <si>
    <t>Vencidos</t>
  </si>
  <si>
    <t>Riesgo crítico</t>
  </si>
  <si>
    <t>Costo alto</t>
  </si>
  <si>
    <t>Impacto de costo: marque Sin impacto/Bajo/Medio/Alto y explique la estimación en Observaciones (horas × tarifa referencial + licencias/servicios + contingencia). No es necesario registrar valores personales si el curso no los exige.</t>
  </si>
  <si>
    <t>Código</t>
  </si>
  <si>
    <t>Fecha solicitud</t>
  </si>
  <si>
    <t>Tipo</t>
  </si>
  <si>
    <t>Título</t>
  </si>
  <si>
    <t>Descripción y justificación</t>
  </si>
  <si>
    <t>Elemento / referencia afectada</t>
  </si>
  <si>
    <t>Prioridad</t>
  </si>
  <si>
    <t>Impacto alcance</t>
  </si>
  <si>
    <t>Impacto cronograma</t>
  </si>
  <si>
    <t>Impacto costo</t>
  </si>
  <si>
    <t>Impacto calidad y seguridad</t>
  </si>
  <si>
    <t>Probabilidad</t>
  </si>
  <si>
    <t>Impacto general</t>
  </si>
  <si>
    <t>Exposición</t>
  </si>
  <si>
    <t>Nivel</t>
  </si>
  <si>
    <t>Esfuerzo estimado (h)</t>
  </si>
  <si>
    <t>Analista</t>
  </si>
  <si>
    <t>Aprobador</t>
  </si>
  <si>
    <t>Decisión</t>
  </si>
  <si>
    <t>Responsable implementación</t>
  </si>
  <si>
    <t>Fecha objetivo</t>
  </si>
  <si>
    <t>Fecha implementación</t>
  </si>
  <si>
    <t>Resultado validación</t>
  </si>
  <si>
    <t>Evidencia / enlace</t>
  </si>
  <si>
    <t>Versión resultante</t>
  </si>
  <si>
    <t>Fecha cierre</t>
  </si>
  <si>
    <t>Observaciones</t>
  </si>
  <si>
    <t>Solicitud y evaluación breve de cambio</t>
  </si>
  <si>
    <t>Complete esta hoja para cambios relevantes. Después de la decisión, transcriba el resumen al Registro de cambios y enlace la evidencia.</t>
  </si>
  <si>
    <t>1. Identificación</t>
  </si>
  <si>
    <t>2. Impacto, riesgo y costo</t>
  </si>
  <si>
    <t>Criterio de aceptación</t>
  </si>
  <si>
    <t>Impacto en alcance</t>
  </si>
  <si>
    <t>Impacto en cronograma</t>
  </si>
  <si>
    <t>Impacto en costo</t>
  </si>
  <si>
    <t>Impacto en calidad y seguridad</t>
  </si>
  <si>
    <t>Probabilidad (1–5)</t>
  </si>
  <si>
    <t>Impacto general (1–5)</t>
  </si>
  <si>
    <t>Riesgos / dependencias / contingencia</t>
  </si>
  <si>
    <t>3. Decisión y planificación</t>
  </si>
  <si>
    <t>Fecha decisión</t>
  </si>
  <si>
    <t>Versión objetivo</t>
  </si>
  <si>
    <t>Condiciones / motivo / plan</t>
  </si>
  <si>
    <t>4. Implementación y cierre</t>
  </si>
  <si>
    <t>Resultado implementado</t>
  </si>
  <si>
    <t>Observaciones y lecciones</t>
  </si>
  <si>
    <t>Guía de uso · Gestión de cambios</t>
  </si>
  <si>
    <t>Cuándo registrar un cambio</t>
  </si>
  <si>
    <t>Registre una solicitud cuando se modifique el alcance acordado, un requisito o criterio de aceptación, una fecha comprometida, un componente técnico, un control de seguridad, una evidencia o un entregable. Las correcciones menores que no cambian la línea base pueden gestionarse como tareas o defectos en Jira.</t>
  </si>
  <si>
    <t>Reglas simples del proceso</t>
  </si>
  <si>
    <t>1</t>
  </si>
  <si>
    <t>La solicitud debe explicar qué cambia, por qué y qué elemento queda afectado.</t>
  </si>
  <si>
    <t>2</t>
  </si>
  <si>
    <t>El analista estima alcance, cronograma, costo, calidad/seguridad, riesgo y esfuerzo.</t>
  </si>
  <si>
    <t>3</t>
  </si>
  <si>
    <t>Product Owner y Scrum Master aprueban, condicionan, rechazan o devuelven para ajuste.</t>
  </si>
  <si>
    <t>4</t>
  </si>
  <si>
    <t>El tiempo objetivo de respuesta es 72 horas; una urgencia justificada puede revisarse antes.</t>
  </si>
  <si>
    <t>5</t>
  </si>
  <si>
    <t>Un cambio aprobado actualiza backlog, documentos, código y pruebas según corresponda.</t>
  </si>
  <si>
    <t>6</t>
  </si>
  <si>
    <t>Un cambio solo se cierra con evidencia y resultado de validación; rechazados y cancelados conservan trazabilidad.</t>
  </si>
  <si>
    <t>Cómo explicar los costos</t>
  </si>
  <si>
    <t>Horas internas</t>
  </si>
  <si>
    <t>Horas estimadas por rol × tarifa referencial. Si no se usa tarifa, registre solo horas y nivel de impacto.</t>
  </si>
  <si>
    <t>Servicios y licencias</t>
  </si>
  <si>
    <t>Hosting, correo, dominio, API, herramienta, suscripción o licencia adicional.</t>
  </si>
  <si>
    <t>Infraestructura / materiales</t>
  </si>
  <si>
    <t>Equipos, almacenamiento, conectividad, impresión u otros recursos necesarios.</t>
  </si>
  <si>
    <t>Retrabajo</t>
  </si>
  <si>
    <t>Horas para rehacer código, documentos, pruebas, BPMN o evidencias ya completadas.</t>
  </si>
  <si>
    <t>Contingencia</t>
  </si>
  <si>
    <t>Reserva razonable para incertidumbre; por ejemplo, 10 % del costo estimado cuando aplique.</t>
  </si>
  <si>
    <t>Costo total</t>
  </si>
  <si>
    <t>Horas × tarifa + servicios/licencias + infraestructura + retrabajo + contingencia.</t>
  </si>
  <si>
    <t>Criterio práctico de impacto de costo</t>
  </si>
  <si>
    <t>Criterio sugerido</t>
  </si>
  <si>
    <t>Ejemplo</t>
  </si>
  <si>
    <t>Sin impacto</t>
  </si>
  <si>
    <t>Se absorbe dentro de la tarea prevista</t>
  </si>
  <si>
    <t>Corrección menor sin horas adicionales relevantes</t>
  </si>
  <si>
    <t>Bajo</t>
  </si>
  <si>
    <t>Pocas horas; sin compras ni cambio de fecha</t>
  </si>
  <si>
    <t>Ajustar texto, estilo o validación sencilla</t>
  </si>
  <si>
    <t>Medio</t>
  </si>
  <si>
    <t>Retrabajo visible o servicio menor</t>
  </si>
  <si>
    <t>Modificar flujo, pruebas y documentación relacionada</t>
  </si>
  <si>
    <t>Alto</t>
  </si>
  <si>
    <t>Compra, muchas horas o impacto en entrega</t>
  </si>
  <si>
    <t>Nueva integración, migración o cambio sustancial de alcance</t>
  </si>
  <si>
    <t>Nivel de impacto</t>
  </si>
  <si>
    <t>Validación</t>
  </si>
  <si>
    <t>Nivel de riesgo</t>
  </si>
  <si>
    <t>Responsables</t>
  </si>
  <si>
    <t>Software</t>
  </si>
  <si>
    <t>Highest</t>
  </si>
  <si>
    <t>Aprobar</t>
  </si>
  <si>
    <t>Registrado</t>
  </si>
  <si>
    <t>Pendiente</t>
  </si>
  <si>
    <t>Alex Mendoza Morante</t>
  </si>
  <si>
    <t>Documentación</t>
  </si>
  <si>
    <t>High</t>
  </si>
  <si>
    <t>Aprobar con condiciones</t>
  </si>
  <si>
    <t>Conforme</t>
  </si>
  <si>
    <t>Víctor Tello Bravo</t>
  </si>
  <si>
    <t>Configuración</t>
  </si>
  <si>
    <t>Low</t>
  </si>
  <si>
    <t>Rechazar</t>
  </si>
  <si>
    <t>Pendiente de aprobación</t>
  </si>
  <si>
    <t>Con observaciones</t>
  </si>
  <si>
    <t>Kevin Carriel Bonoso</t>
  </si>
  <si>
    <t>Base de datos</t>
  </si>
  <si>
    <t>Lowest</t>
  </si>
  <si>
    <t>Devolver para ajuste</t>
  </si>
  <si>
    <t>Aprobado</t>
  </si>
  <si>
    <t>No conforme</t>
  </si>
  <si>
    <t>Crítico</t>
  </si>
  <si>
    <t>Mario Luzardo Fierro</t>
  </si>
  <si>
    <t>Interfaz / UX</t>
  </si>
  <si>
    <t>Planificado</t>
  </si>
  <si>
    <t>No aplica</t>
  </si>
  <si>
    <t>Luis Ramírez Conejo</t>
  </si>
  <si>
    <t>Seguridad</t>
  </si>
  <si>
    <t>Luis Rodríguez Barrera</t>
  </si>
  <si>
    <t>Infraestructura</t>
  </si>
  <si>
    <t>Ing. Victoria García Velásquez</t>
  </si>
  <si>
    <t>Proceso</t>
  </si>
  <si>
    <t>Cerrado</t>
  </si>
  <si>
    <t>Rechazado</t>
  </si>
  <si>
    <t>Cancelado</t>
  </si>
  <si>
    <t>Suspendido</t>
  </si>
  <si>
    <t>BARRIO SOLIDARIO · Gestión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</si>
</sst>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8"/>
      <color rgb="FFFFFFFF"/>
      <name val="Arial"/>
    </font>
    <font>
      <sz val="11"/>
      <name val="Arial"/>
    </font>
    <font>
      <i/>
      <sz val="11"/>
      <color rgb="FF212937"/>
      <name val="Arial"/>
    </font>
    <font>
      <b/>
      <sz val="11"/>
      <color rgb="FFFFFFFF"/>
      <name val="Arial"/>
    </font>
    <font>
      <b/>
      <sz val="11"/>
      <color rgb="FF212937"/>
      <name val="Arial"/>
    </font>
    <font>
      <b/>
      <sz val="14"/>
      <color rgb="FF2A3966"/>
      <name val="Arial"/>
    </font>
    <font>
      <sz val="11"/>
      <color rgb="FF212937"/>
      <name val="Arial"/>
    </font>
    <font>
      <b/>
      <sz val="12"/>
      <color rgb="FFFFFFFF"/>
      <name val="Arial"/>
    </font>
    <font>
      <b/>
      <sz val="11"/>
      <color rgb="FF2A3966"/>
      <name val="Arial"/>
    </font>
  </fonts>
  <fills count="8">
    <fill>
      <patternFill patternType="none"/>
    </fill>
    <fill>
      <patternFill patternType="gray125"/>
    </fill>
    <fill>
      <patternFill patternType="solid">
        <fgColor rgb="FF2A3966"/>
      </patternFill>
    </fill>
    <fill>
      <patternFill patternType="solid">
        <fgColor rgb="FFF6F7FA"/>
      </patternFill>
    </fill>
    <fill>
      <patternFill patternType="solid">
        <fgColor rgb="FFE9EBF0"/>
      </patternFill>
    </fill>
    <fill>
      <patternFill patternType="solid">
        <fgColor rgb="FFFFFFFF"/>
      </patternFill>
    </fill>
    <fill>
      <patternFill patternType="solid">
        <fgColor rgb="FFC92351"/>
      </patternFill>
    </fill>
    <fill>
      <patternFill patternType="solid">
        <fgColor rgb="FFFFF2CC"/>
      </patternFill>
    </fill>
  </fills>
  <borders count="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7BDC8"/>
      </left>
      <right style="thin">
        <color rgb="FFB7BDC8"/>
      </right>
      <top style="thin">
        <color rgb="FFB7BDC8"/>
      </top>
      <bottom style="thin">
        <color rgb="FFB7BDC8"/>
      </bottom>
      <diagonal/>
    </border>
    <border>
      <left/>
      <right style="thin">
        <color rgb="FFFFFFFF"/>
      </right>
      <top/>
      <bottom/>
      <diagonal/>
    </border>
    <border>
      <left style="thin">
        <color rgb="FFB7BDC8"/>
      </left>
      <right/>
      <top style="thin">
        <color rgb="FFB7BDC8"/>
      </top>
      <bottom style="thin">
        <color rgb="FFB7BDC8"/>
      </bottom>
      <diagonal/>
    </border>
    <border>
      <left/>
      <right style="thin">
        <color rgb="FFB7BDC8"/>
      </right>
      <top style="thin">
        <color rgb="FFB7BDC8"/>
      </top>
      <bottom style="thin">
        <color rgb="FFB7BDC8"/>
      </bottom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B7BDC8"/>
      </top>
      <bottom style="thin">
        <color rgb="FFB7BDC8"/>
      </bottom>
      <diagonal/>
    </border>
    <border>
      <left/>
      <right/>
      <top/>
      <bottom style="thin">
        <color rgb="FFB7BDC8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center" vertical="top" wrapText="1"/>
    </xf>
    <xf numFmtId="0" fontId="7" fillId="5" borderId="2" xfId="0" applyFont="1" applyFill="1" applyBorder="1" applyAlignment="1">
      <alignment vertical="top" wrapText="1"/>
    </xf>
    <xf numFmtId="14" fontId="7" fillId="5" borderId="2" xfId="0" applyNumberFormat="1" applyFont="1" applyFill="1" applyBorder="1" applyAlignment="1">
      <alignment vertical="top" wrapText="1"/>
    </xf>
    <xf numFmtId="0" fontId="9" fillId="5" borderId="2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0" xfId="0" applyFont="1" applyFill="1" applyAlignment="1">
      <alignment wrapText="1"/>
    </xf>
    <xf numFmtId="0" fontId="8" fillId="6" borderId="0" xfId="0" applyFont="1" applyFill="1" applyAlignment="1">
      <alignment vertical="center"/>
    </xf>
    <xf numFmtId="0" fontId="4" fillId="6" borderId="0" xfId="0" applyFont="1" applyFill="1" applyAlignment="1">
      <alignment horizontal="center"/>
    </xf>
    <xf numFmtId="0" fontId="5" fillId="7" borderId="0" xfId="0" applyFont="1" applyFill="1" applyAlignment="1">
      <alignment wrapText="1"/>
    </xf>
    <xf numFmtId="0" fontId="7" fillId="5" borderId="2" xfId="0" applyFont="1" applyFill="1" applyBorder="1" applyAlignment="1">
      <alignment vertical="top" wrapText="1"/>
    </xf>
    <xf numFmtId="14" fontId="7" fillId="5" borderId="2" xfId="0" applyNumberFormat="1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7" fillId="5" borderId="0" xfId="0" applyFont="1" applyFill="1" applyBorder="1" applyAlignment="1">
      <alignment vertical="top" wrapText="1"/>
    </xf>
    <xf numFmtId="0" fontId="7" fillId="5" borderId="4" xfId="0" applyFont="1" applyFill="1" applyBorder="1" applyAlignment="1">
      <alignment horizontal="left" vertical="top" wrapText="1"/>
    </xf>
    <xf numFmtId="0" fontId="7" fillId="5" borderId="5" xfId="0" applyFont="1" applyFill="1" applyBorder="1" applyAlignment="1">
      <alignment horizontal="left" vertical="top" wrapText="1"/>
    </xf>
    <xf numFmtId="0" fontId="7" fillId="5" borderId="4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top" wrapText="1"/>
    </xf>
    <xf numFmtId="0" fontId="2" fillId="0" borderId="0" xfId="0" applyFont="1" applyAlignment="1"/>
    <xf numFmtId="0" fontId="8" fillId="6" borderId="8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left" vertical="center" wrapText="1"/>
    </xf>
  </cellXfs>
  <cellStyles count="1">
    <cellStyle name="Normal" xfId="0" builtinId="0"/>
  </cellStyles>
  <dxfs count="3"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A3966"/>
  </sheetPr>
  <dimension ref="B2:H31"/>
  <sheetViews>
    <sheetView showGridLines="0" workbookViewId="0">
      <pane ySplit="3" topLeftCell="A4" activePane="bottomLeft" state="frozen"/>
      <selection pane="bottomLeft"/>
    </sheetView>
  </sheetViews>
  <sheetFormatPr baseColWidth="10" defaultColWidth="8.796875" defaultRowHeight="13.8"/>
  <cols>
    <col min="2" max="2" width="22" customWidth="1"/>
    <col min="3" max="8" width="18" customWidth="1"/>
  </cols>
  <sheetData>
    <row r="2" spans="2:8" ht="31.95" customHeight="1">
      <c r="B2" s="8" t="s">
        <v>134</v>
      </c>
      <c r="C2" s="9"/>
      <c r="D2" s="9"/>
      <c r="E2" s="9"/>
      <c r="F2" s="9"/>
      <c r="G2" s="9"/>
      <c r="H2" s="9"/>
    </row>
    <row r="3" spans="2:8" ht="31.95" customHeight="1">
      <c r="B3" s="9"/>
      <c r="C3" s="9"/>
      <c r="D3" s="9"/>
      <c r="E3" s="9"/>
      <c r="F3" s="9"/>
      <c r="G3" s="9"/>
      <c r="H3" s="9"/>
    </row>
    <row r="4" spans="2:8">
      <c r="B4" s="1"/>
      <c r="C4" s="1"/>
      <c r="D4" s="1"/>
      <c r="E4" s="1"/>
      <c r="F4" s="1"/>
      <c r="G4" s="1"/>
      <c r="H4" s="1"/>
    </row>
    <row r="5" spans="2:8" ht="24" customHeight="1">
      <c r="B5" s="11" t="s">
        <v>135</v>
      </c>
      <c r="C5" s="9"/>
      <c r="D5" s="9"/>
      <c r="E5" s="9"/>
      <c r="F5" s="9"/>
      <c r="G5" s="9"/>
      <c r="H5" s="9"/>
    </row>
    <row r="6" spans="2:8">
      <c r="B6" s="14" t="s">
        <v>136</v>
      </c>
      <c r="C6" s="14"/>
      <c r="D6" s="14"/>
      <c r="E6" s="14"/>
      <c r="F6" s="14"/>
      <c r="G6" s="14"/>
      <c r="H6" s="14"/>
    </row>
    <row r="7" spans="2:8">
      <c r="B7" s="14"/>
      <c r="C7" s="14"/>
      <c r="D7" s="14"/>
      <c r="E7" s="14"/>
      <c r="F7" s="14"/>
      <c r="G7" s="14"/>
      <c r="H7" s="14"/>
    </row>
    <row r="8" spans="2:8">
      <c r="B8" s="14"/>
      <c r="C8" s="14"/>
      <c r="D8" s="14"/>
      <c r="E8" s="14"/>
      <c r="F8" s="14"/>
      <c r="G8" s="14"/>
      <c r="H8" s="14"/>
    </row>
    <row r="9" spans="2:8">
      <c r="B9" s="1"/>
      <c r="C9" s="1"/>
      <c r="D9" s="1"/>
      <c r="E9" s="1"/>
      <c r="F9" s="1"/>
      <c r="G9" s="1"/>
      <c r="H9" s="1"/>
    </row>
    <row r="10" spans="2:8" ht="24" customHeight="1">
      <c r="B10" s="11" t="s">
        <v>137</v>
      </c>
      <c r="C10" s="9"/>
      <c r="D10" s="9"/>
      <c r="E10" s="9"/>
      <c r="F10" s="9"/>
      <c r="G10" s="9"/>
      <c r="H10" s="9"/>
    </row>
    <row r="11" spans="2:8">
      <c r="B11" s="3" t="s">
        <v>138</v>
      </c>
      <c r="C11" s="14" t="s">
        <v>139</v>
      </c>
      <c r="D11" s="9"/>
      <c r="E11" s="9"/>
      <c r="F11" s="9"/>
      <c r="G11" s="9"/>
      <c r="H11" s="9"/>
    </row>
    <row r="12" spans="2:8">
      <c r="B12" s="3" t="s">
        <v>140</v>
      </c>
      <c r="C12" s="14" t="s">
        <v>141</v>
      </c>
      <c r="D12" s="9"/>
      <c r="E12" s="9"/>
      <c r="F12" s="9"/>
      <c r="G12" s="9"/>
      <c r="H12" s="9"/>
    </row>
    <row r="13" spans="2:8">
      <c r="B13" s="3" t="s">
        <v>142</v>
      </c>
      <c r="C13" s="14" t="s">
        <v>143</v>
      </c>
      <c r="D13" s="9"/>
      <c r="E13" s="9"/>
      <c r="F13" s="9"/>
      <c r="G13" s="9"/>
      <c r="H13" s="9"/>
    </row>
    <row r="14" spans="2:8">
      <c r="B14" s="3" t="s">
        <v>144</v>
      </c>
      <c r="C14" s="14" t="s">
        <v>145</v>
      </c>
      <c r="D14" s="9"/>
      <c r="E14" s="9"/>
      <c r="F14" s="9"/>
      <c r="G14" s="9"/>
      <c r="H14" s="9"/>
    </row>
    <row r="15" spans="2:8">
      <c r="B15" s="3" t="s">
        <v>146</v>
      </c>
      <c r="C15" s="14" t="s">
        <v>147</v>
      </c>
      <c r="D15" s="9"/>
      <c r="E15" s="9"/>
      <c r="F15" s="9"/>
      <c r="G15" s="9"/>
      <c r="H15" s="9"/>
    </row>
    <row r="16" spans="2:8">
      <c r="B16" s="3" t="s">
        <v>148</v>
      </c>
      <c r="C16" s="14" t="s">
        <v>149</v>
      </c>
      <c r="D16" s="9"/>
      <c r="E16" s="9"/>
      <c r="F16" s="9"/>
      <c r="G16" s="9"/>
      <c r="H16" s="9"/>
    </row>
    <row r="17" spans="2:8">
      <c r="B17" s="1"/>
      <c r="C17" s="1"/>
      <c r="D17" s="1"/>
      <c r="E17" s="1"/>
      <c r="F17" s="1"/>
      <c r="G17" s="1"/>
      <c r="H17" s="1"/>
    </row>
    <row r="18" spans="2:8" ht="24" customHeight="1">
      <c r="B18" s="11" t="s">
        <v>150</v>
      </c>
      <c r="C18" s="9"/>
      <c r="D18" s="9"/>
      <c r="E18" s="9"/>
      <c r="F18" s="9"/>
      <c r="G18" s="9"/>
      <c r="H18" s="9"/>
    </row>
    <row r="19" spans="2:8">
      <c r="B19" s="3" t="s">
        <v>151</v>
      </c>
      <c r="C19" s="14" t="s">
        <v>152</v>
      </c>
      <c r="D19" s="9"/>
      <c r="E19" s="9"/>
      <c r="F19" s="9"/>
      <c r="G19" s="9"/>
      <c r="H19" s="9"/>
    </row>
    <row r="20" spans="2:8">
      <c r="B20" s="3" t="s">
        <v>153</v>
      </c>
      <c r="C20" s="14" t="s">
        <v>154</v>
      </c>
      <c r="D20" s="9"/>
      <c r="E20" s="9"/>
      <c r="F20" s="9"/>
      <c r="G20" s="9"/>
      <c r="H20" s="9"/>
    </row>
    <row r="21" spans="2:8" ht="27.6">
      <c r="B21" s="3" t="s">
        <v>155</v>
      </c>
      <c r="C21" s="14" t="s">
        <v>156</v>
      </c>
      <c r="D21" s="9"/>
      <c r="E21" s="9"/>
      <c r="F21" s="9"/>
      <c r="G21" s="9"/>
      <c r="H21" s="9"/>
    </row>
    <row r="22" spans="2:8">
      <c r="B22" s="3" t="s">
        <v>157</v>
      </c>
      <c r="C22" s="14" t="s">
        <v>158</v>
      </c>
      <c r="D22" s="9"/>
      <c r="E22" s="9"/>
      <c r="F22" s="9"/>
      <c r="G22" s="9"/>
      <c r="H22" s="9"/>
    </row>
    <row r="23" spans="2:8">
      <c r="B23" s="3" t="s">
        <v>159</v>
      </c>
      <c r="C23" s="14" t="s">
        <v>160</v>
      </c>
      <c r="D23" s="9"/>
      <c r="E23" s="9"/>
      <c r="F23" s="9"/>
      <c r="G23" s="9"/>
      <c r="H23" s="9"/>
    </row>
    <row r="24" spans="2:8">
      <c r="B24" s="3" t="s">
        <v>161</v>
      </c>
      <c r="C24" s="14" t="s">
        <v>162</v>
      </c>
      <c r="D24" s="9"/>
      <c r="E24" s="9"/>
      <c r="F24" s="9"/>
      <c r="G24" s="9"/>
      <c r="H24" s="9"/>
    </row>
    <row r="25" spans="2:8">
      <c r="B25" s="1"/>
      <c r="C25" s="1"/>
      <c r="D25" s="1"/>
      <c r="E25" s="1"/>
      <c r="F25" s="1"/>
      <c r="G25" s="1"/>
      <c r="H25" s="1"/>
    </row>
    <row r="26" spans="2:8" ht="24" customHeight="1">
      <c r="B26" s="11" t="s">
        <v>163</v>
      </c>
      <c r="C26" s="9"/>
      <c r="D26" s="9"/>
      <c r="E26" s="9"/>
      <c r="F26" s="9"/>
      <c r="G26" s="9"/>
      <c r="H26" s="9"/>
    </row>
    <row r="27" spans="2:8">
      <c r="B27" s="2" t="s">
        <v>102</v>
      </c>
      <c r="C27" s="16" t="s">
        <v>164</v>
      </c>
      <c r="D27" s="16"/>
      <c r="E27" s="16" t="s">
        <v>165</v>
      </c>
      <c r="F27" s="16"/>
      <c r="G27" s="16"/>
      <c r="H27" s="16"/>
    </row>
    <row r="28" spans="2:8">
      <c r="B28" s="5" t="s">
        <v>166</v>
      </c>
      <c r="C28" s="14" t="s">
        <v>167</v>
      </c>
      <c r="D28" s="14"/>
      <c r="E28" s="14" t="s">
        <v>168</v>
      </c>
      <c r="F28" s="14"/>
      <c r="G28" s="14"/>
      <c r="H28" s="14"/>
    </row>
    <row r="29" spans="2:8">
      <c r="B29" s="5" t="s">
        <v>169</v>
      </c>
      <c r="C29" s="14" t="s">
        <v>170</v>
      </c>
      <c r="D29" s="14"/>
      <c r="E29" s="14" t="s">
        <v>171</v>
      </c>
      <c r="F29" s="14"/>
      <c r="G29" s="14"/>
      <c r="H29" s="14"/>
    </row>
    <row r="30" spans="2:8">
      <c r="B30" s="5" t="s">
        <v>172</v>
      </c>
      <c r="C30" s="14" t="s">
        <v>173</v>
      </c>
      <c r="D30" s="14"/>
      <c r="E30" s="14" t="s">
        <v>174</v>
      </c>
      <c r="F30" s="14"/>
      <c r="G30" s="14"/>
      <c r="H30" s="14"/>
    </row>
    <row r="31" spans="2:8">
      <c r="B31" s="5" t="s">
        <v>175</v>
      </c>
      <c r="C31" s="14" t="s">
        <v>176</v>
      </c>
      <c r="D31" s="14"/>
      <c r="E31" s="14" t="s">
        <v>177</v>
      </c>
      <c r="F31" s="14"/>
      <c r="G31" s="14"/>
      <c r="H31" s="14"/>
    </row>
  </sheetData>
  <mergeCells count="28">
    <mergeCell ref="C31:D31"/>
    <mergeCell ref="E31:H31"/>
    <mergeCell ref="C28:D28"/>
    <mergeCell ref="E28:H28"/>
    <mergeCell ref="C29:D29"/>
    <mergeCell ref="E29:H29"/>
    <mergeCell ref="C30:D30"/>
    <mergeCell ref="E30:H30"/>
    <mergeCell ref="C23:H23"/>
    <mergeCell ref="C24:H24"/>
    <mergeCell ref="B26:H26"/>
    <mergeCell ref="C27:D27"/>
    <mergeCell ref="E27:H27"/>
    <mergeCell ref="B18:H18"/>
    <mergeCell ref="C19:H19"/>
    <mergeCell ref="C20:H20"/>
    <mergeCell ref="C21:H21"/>
    <mergeCell ref="C22:H22"/>
    <mergeCell ref="C12:H12"/>
    <mergeCell ref="C13:H13"/>
    <mergeCell ref="C14:H14"/>
    <mergeCell ref="C15:H15"/>
    <mergeCell ref="C16:H16"/>
    <mergeCell ref="B2:H3"/>
    <mergeCell ref="B5:H5"/>
    <mergeCell ref="B6:H8"/>
    <mergeCell ref="B10:H10"/>
    <mergeCell ref="C11:H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A3966"/>
  </sheetPr>
  <dimension ref="B2:J30"/>
  <sheetViews>
    <sheetView showGridLines="0" workbookViewId="0">
      <pane ySplit="4" topLeftCell="A5" activePane="bottomLeft" state="frozen"/>
      <selection pane="bottomLeft" activeCell="B4" sqref="B4:J4"/>
    </sheetView>
  </sheetViews>
  <sheetFormatPr baseColWidth="10" defaultColWidth="8.796875" defaultRowHeight="13.8"/>
  <cols>
    <col min="2" max="2" width="24" customWidth="1"/>
    <col min="3" max="3" width="12.69921875" customWidth="1"/>
    <col min="4" max="4" width="24" customWidth="1"/>
    <col min="5" max="5" width="11.3984375" customWidth="1"/>
    <col min="6" max="6" width="12" customWidth="1"/>
    <col min="7" max="7" width="18" customWidth="1"/>
    <col min="8" max="8" width="26" customWidth="1"/>
    <col min="9" max="9" width="38" customWidth="1"/>
    <col min="10" max="10" width="20" customWidth="1"/>
  </cols>
  <sheetData>
    <row r="2" spans="2:10" ht="31.95" customHeight="1">
      <c r="B2" s="8" t="s">
        <v>219</v>
      </c>
      <c r="C2" s="9"/>
      <c r="D2" s="9"/>
      <c r="E2" s="9"/>
      <c r="F2" s="9"/>
      <c r="G2" s="9"/>
      <c r="H2" s="9"/>
      <c r="I2" s="9"/>
      <c r="J2" s="9"/>
    </row>
    <row r="3" spans="2:10" ht="31.95" customHeight="1">
      <c r="B3" s="9"/>
      <c r="C3" s="9"/>
      <c r="D3" s="9"/>
      <c r="E3" s="9"/>
      <c r="F3" s="9"/>
      <c r="G3" s="9"/>
      <c r="H3" s="9"/>
      <c r="I3" s="9"/>
      <c r="J3" s="9"/>
    </row>
    <row r="4" spans="2:10" ht="14.4">
      <c r="B4" s="10" t="s">
        <v>0</v>
      </c>
      <c r="C4" s="10"/>
      <c r="D4" s="10"/>
      <c r="E4" s="10"/>
      <c r="F4" s="10"/>
      <c r="G4" s="10"/>
      <c r="H4" s="10"/>
      <c r="I4" s="10"/>
      <c r="J4" s="10"/>
    </row>
    <row r="5" spans="2:10">
      <c r="B5" s="1"/>
      <c r="C5" s="1"/>
      <c r="D5" s="1"/>
      <c r="E5" s="1"/>
      <c r="F5" s="1"/>
      <c r="G5" s="1"/>
      <c r="H5" s="1"/>
      <c r="I5" s="1"/>
      <c r="J5" s="1"/>
    </row>
    <row r="6" spans="2:10">
      <c r="B6" s="2" t="s">
        <v>1</v>
      </c>
      <c r="C6" s="2" t="s">
        <v>2</v>
      </c>
      <c r="D6" s="2" t="s">
        <v>3</v>
      </c>
      <c r="E6" s="1"/>
      <c r="F6" s="1"/>
      <c r="G6" s="2" t="s">
        <v>4</v>
      </c>
      <c r="H6" s="2" t="s">
        <v>5</v>
      </c>
      <c r="I6" s="2" t="s">
        <v>6</v>
      </c>
      <c r="J6" s="2" t="s">
        <v>7</v>
      </c>
    </row>
    <row r="7" spans="2:10" ht="17.399999999999999">
      <c r="B7" s="3" t="s">
        <v>8</v>
      </c>
      <c r="C7" s="4">
        <f>COUNTA('Registro de cambios'!$A$15:$A$214)</f>
        <v>0</v>
      </c>
      <c r="D7" s="5" t="s">
        <v>9</v>
      </c>
      <c r="E7" s="17"/>
      <c r="F7" s="1"/>
      <c r="G7" s="5" t="s">
        <v>10</v>
      </c>
      <c r="H7" s="5" t="s">
        <v>11</v>
      </c>
      <c r="I7" s="5" t="s">
        <v>12</v>
      </c>
      <c r="J7" s="5" t="s">
        <v>13</v>
      </c>
    </row>
    <row r="8" spans="2:10" ht="17.399999999999999">
      <c r="B8" s="3" t="s">
        <v>14</v>
      </c>
      <c r="C8" s="4">
        <f>COUNTIF('Registro de cambios'!$U$15:$U$214,"En análisis")</f>
        <v>0</v>
      </c>
      <c r="D8" s="5" t="s">
        <v>15</v>
      </c>
      <c r="E8" s="17"/>
      <c r="F8" s="1"/>
      <c r="G8" s="5" t="s">
        <v>16</v>
      </c>
      <c r="H8" s="5" t="s">
        <v>17</v>
      </c>
      <c r="I8" s="5" t="s">
        <v>18</v>
      </c>
      <c r="J8" s="5" t="s">
        <v>19</v>
      </c>
    </row>
    <row r="9" spans="2:10" ht="17.399999999999999">
      <c r="B9" s="3" t="s">
        <v>20</v>
      </c>
      <c r="C9" s="4">
        <f>COUNTIF('Registro de cambios'!$U$15:$U$214,"Pendiente de aprobación")</f>
        <v>0</v>
      </c>
      <c r="D9" s="5" t="s">
        <v>21</v>
      </c>
      <c r="E9" s="17"/>
      <c r="F9" s="1"/>
      <c r="G9" s="5" t="s">
        <v>22</v>
      </c>
      <c r="H9" s="5" t="s">
        <v>23</v>
      </c>
      <c r="I9" s="5" t="s">
        <v>24</v>
      </c>
      <c r="J9" s="5" t="s">
        <v>25</v>
      </c>
    </row>
    <row r="10" spans="2:10" ht="17.399999999999999">
      <c r="B10" s="3" t="s">
        <v>26</v>
      </c>
      <c r="C10" s="4">
        <f>COUNTIF('Registro de cambios'!$T$15:$T$214,"Aprobar*")</f>
        <v>0</v>
      </c>
      <c r="D10" s="5" t="s">
        <v>27</v>
      </c>
      <c r="E10" s="17"/>
      <c r="F10" s="1"/>
      <c r="G10" s="5" t="s">
        <v>28</v>
      </c>
      <c r="H10" s="5" t="s">
        <v>29</v>
      </c>
      <c r="I10" s="5" t="s">
        <v>30</v>
      </c>
      <c r="J10" s="5" t="s">
        <v>31</v>
      </c>
    </row>
    <row r="11" spans="2:10" ht="17.399999999999999">
      <c r="B11" s="3" t="s">
        <v>32</v>
      </c>
      <c r="C11" s="4">
        <f>COUNTIF('Registro de cambios'!$U$15:$U$214,"En implementación")</f>
        <v>0</v>
      </c>
      <c r="D11" s="5" t="s">
        <v>33</v>
      </c>
      <c r="E11" s="17"/>
      <c r="F11" s="1"/>
      <c r="G11" s="5" t="s">
        <v>34</v>
      </c>
      <c r="H11" s="5" t="s">
        <v>35</v>
      </c>
      <c r="I11" s="5" t="s">
        <v>36</v>
      </c>
      <c r="J11" s="5" t="s">
        <v>37</v>
      </c>
    </row>
    <row r="12" spans="2:10" ht="17.399999999999999">
      <c r="B12" s="3" t="s">
        <v>38</v>
      </c>
      <c r="C12" s="4">
        <f>COUNTIF('Registro de cambios'!$U$15:$U$214,"En validación")</f>
        <v>0</v>
      </c>
      <c r="D12" s="5" t="s">
        <v>39</v>
      </c>
      <c r="E12" s="17"/>
      <c r="F12" s="1"/>
      <c r="G12" s="5" t="s">
        <v>40</v>
      </c>
      <c r="H12" s="5" t="s">
        <v>41</v>
      </c>
      <c r="I12" s="5" t="s">
        <v>42</v>
      </c>
      <c r="J12" s="5" t="s">
        <v>43</v>
      </c>
    </row>
    <row r="13" spans="2:10" ht="17.399999999999999">
      <c r="B13" s="3" t="s">
        <v>44</v>
      </c>
      <c r="C13" s="4">
        <f>COUNTIF('Registro de cambios'!$U$15:$U$214,"Cerrado")</f>
        <v>0</v>
      </c>
      <c r="D13" s="5" t="s">
        <v>45</v>
      </c>
      <c r="E13" s="17"/>
      <c r="F13" s="1"/>
      <c r="G13" s="1"/>
      <c r="H13" s="1"/>
      <c r="I13" s="1"/>
      <c r="J13" s="1"/>
    </row>
    <row r="14" spans="2:10" ht="17.399999999999999">
      <c r="B14" s="3" t="s">
        <v>46</v>
      </c>
      <c r="C14" s="4">
        <f ca="1">COUNTIFS('Registro de cambios'!$W$15:$W$214,"&gt;0",'Registro de cambios'!$W$15:$W$214,"&lt;"&amp;TODAY(),'Registro de cambios'!$U$15:$U$214,"&lt;&gt;Cerrado",'Registro de cambios'!$U$15:$U$214,"&lt;&gt;Rechazado",'Registro de cambios'!$U$15:$U$214,"&lt;&gt;Cancelado")</f>
        <v>0</v>
      </c>
      <c r="D14" s="5" t="s">
        <v>47</v>
      </c>
      <c r="E14" s="17"/>
      <c r="F14" s="1"/>
      <c r="G14" s="1"/>
      <c r="H14" s="1"/>
      <c r="I14" s="1"/>
      <c r="J14" s="1"/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/>
      <c r="E16" s="1"/>
      <c r="F16" s="1"/>
      <c r="G16" s="1"/>
      <c r="H16" s="1"/>
      <c r="I16" s="1"/>
      <c r="J16" s="1"/>
    </row>
    <row r="17" spans="2:10" ht="24" customHeight="1">
      <c r="B17" s="26" t="s">
        <v>48</v>
      </c>
      <c r="C17" s="26"/>
      <c r="D17" s="26"/>
      <c r="E17" s="26"/>
      <c r="F17" s="26"/>
      <c r="G17" s="26"/>
      <c r="H17" s="26"/>
      <c r="I17" s="25"/>
      <c r="J17" s="25"/>
    </row>
    <row r="18" spans="2:10">
      <c r="B18" s="3" t="s">
        <v>49</v>
      </c>
      <c r="C18" s="20" t="s">
        <v>50</v>
      </c>
      <c r="D18" s="27"/>
      <c r="E18" s="27"/>
      <c r="F18" s="27"/>
      <c r="G18" s="27"/>
      <c r="H18" s="21"/>
    </row>
    <row r="19" spans="2:10">
      <c r="B19" s="3" t="s">
        <v>55</v>
      </c>
      <c r="C19" s="20" t="s">
        <v>56</v>
      </c>
      <c r="D19" s="27"/>
      <c r="E19" s="27"/>
      <c r="F19" s="27"/>
      <c r="G19" s="27"/>
      <c r="H19" s="21"/>
    </row>
    <row r="20" spans="2:10">
      <c r="B20" s="3" t="s">
        <v>61</v>
      </c>
      <c r="C20" s="20" t="s">
        <v>62</v>
      </c>
      <c r="D20" s="27"/>
      <c r="E20" s="27"/>
      <c r="F20" s="27"/>
      <c r="G20" s="27"/>
      <c r="H20" s="21"/>
    </row>
    <row r="21" spans="2:10">
      <c r="B21" s="3" t="s">
        <v>54</v>
      </c>
      <c r="C21" s="20" t="s">
        <v>67</v>
      </c>
      <c r="D21" s="27"/>
      <c r="E21" s="27"/>
      <c r="F21" s="27"/>
      <c r="G21" s="27"/>
      <c r="H21" s="21"/>
    </row>
    <row r="22" spans="2:10">
      <c r="B22" s="3" t="s">
        <v>70</v>
      </c>
      <c r="C22" s="20">
        <v>46289</v>
      </c>
      <c r="D22" s="27"/>
      <c r="E22" s="27"/>
      <c r="F22" s="27"/>
      <c r="G22" s="27"/>
      <c r="H22" s="21"/>
    </row>
    <row r="23" spans="2:10">
      <c r="B23" s="3" t="s">
        <v>72</v>
      </c>
      <c r="C23" s="20" t="s">
        <v>73</v>
      </c>
      <c r="D23" s="27"/>
      <c r="E23" s="27"/>
      <c r="F23" s="27"/>
      <c r="G23" s="27"/>
      <c r="H23" s="21"/>
    </row>
    <row r="24" spans="2:10">
      <c r="B24" s="3" t="s">
        <v>74</v>
      </c>
      <c r="C24" s="20" t="s">
        <v>75</v>
      </c>
      <c r="D24" s="27"/>
      <c r="E24" s="27"/>
      <c r="F24" s="27"/>
      <c r="G24" s="27"/>
      <c r="H24" s="21"/>
      <c r="I24" s="1"/>
      <c r="J24" s="1"/>
    </row>
    <row r="26" spans="2:10" ht="27.6" customHeight="1">
      <c r="B26" s="2" t="s">
        <v>51</v>
      </c>
      <c r="C26" s="2" t="s">
        <v>52</v>
      </c>
      <c r="D26" s="22" t="s">
        <v>53</v>
      </c>
      <c r="E26" s="23"/>
      <c r="F26" s="22" t="s">
        <v>5</v>
      </c>
      <c r="G26" s="23"/>
      <c r="H26" s="2" t="s">
        <v>54</v>
      </c>
    </row>
    <row r="27" spans="2:10">
      <c r="B27" s="5" t="s">
        <v>57</v>
      </c>
      <c r="C27" s="5">
        <v>46279</v>
      </c>
      <c r="D27" s="18" t="s">
        <v>58</v>
      </c>
      <c r="E27" s="19"/>
      <c r="F27" s="18" t="s">
        <v>59</v>
      </c>
      <c r="G27" s="19"/>
      <c r="H27" s="24" t="s">
        <v>60</v>
      </c>
    </row>
    <row r="28" spans="2:10" ht="15" customHeight="1">
      <c r="B28" s="5" t="s">
        <v>63</v>
      </c>
      <c r="C28" s="5">
        <v>46279</v>
      </c>
      <c r="D28" s="18" t="s">
        <v>64</v>
      </c>
      <c r="E28" s="19"/>
      <c r="F28" s="18" t="s">
        <v>65</v>
      </c>
      <c r="G28" s="19"/>
      <c r="H28" s="24" t="s">
        <v>66</v>
      </c>
    </row>
    <row r="29" spans="2:10">
      <c r="B29" s="5" t="s">
        <v>68</v>
      </c>
      <c r="C29" s="5">
        <v>46280</v>
      </c>
      <c r="D29" s="18" t="s">
        <v>69</v>
      </c>
      <c r="E29" s="19"/>
      <c r="F29" s="18" t="s">
        <v>59</v>
      </c>
      <c r="G29" s="19"/>
      <c r="H29" s="24" t="s">
        <v>60</v>
      </c>
    </row>
    <row r="30" spans="2:10" ht="31.2" customHeight="1">
      <c r="B30" s="5" t="s">
        <v>62</v>
      </c>
      <c r="C30" s="5">
        <v>46289</v>
      </c>
      <c r="D30" s="18" t="s">
        <v>71</v>
      </c>
      <c r="E30" s="19"/>
      <c r="F30" s="18" t="s">
        <v>59</v>
      </c>
      <c r="G30" s="19"/>
      <c r="H30" s="24" t="s">
        <v>67</v>
      </c>
    </row>
  </sheetData>
  <mergeCells count="20">
    <mergeCell ref="D26:E26"/>
    <mergeCell ref="D27:E27"/>
    <mergeCell ref="D28:E28"/>
    <mergeCell ref="D29:E29"/>
    <mergeCell ref="D30:E30"/>
    <mergeCell ref="F27:G27"/>
    <mergeCell ref="F28:G28"/>
    <mergeCell ref="F29:G29"/>
    <mergeCell ref="F30:G30"/>
    <mergeCell ref="F26:G26"/>
    <mergeCell ref="C20:H20"/>
    <mergeCell ref="C21:H21"/>
    <mergeCell ref="C22:H22"/>
    <mergeCell ref="C23:H23"/>
    <mergeCell ref="C24:H24"/>
    <mergeCell ref="B2:J3"/>
    <mergeCell ref="B4:J4"/>
    <mergeCell ref="C18:H18"/>
    <mergeCell ref="C19:H19"/>
    <mergeCell ref="B17:H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2351"/>
  </sheetPr>
  <dimension ref="A2:AC214"/>
  <sheetViews>
    <sheetView showGridLines="0" workbookViewId="0">
      <pane xSplit="5" ySplit="14" topLeftCell="M15" activePane="bottomRight" state="frozen"/>
      <selection pane="topRight"/>
      <selection pane="bottomLeft"/>
      <selection pane="bottomRight" activeCell="F15" sqref="F15"/>
    </sheetView>
  </sheetViews>
  <sheetFormatPr baseColWidth="10" defaultColWidth="8.796875" defaultRowHeight="13.8"/>
  <cols>
    <col min="1" max="1" width="14" customWidth="1"/>
    <col min="2" max="2" width="13" customWidth="1"/>
    <col min="3" max="3" width="22" customWidth="1"/>
    <col min="4" max="4" width="18" customWidth="1"/>
    <col min="5" max="5" width="26" customWidth="1"/>
    <col min="6" max="6" width="42" customWidth="1"/>
    <col min="7" max="7" width="28" customWidth="1"/>
    <col min="8" max="8" width="13" customWidth="1"/>
    <col min="9" max="9" width="15" customWidth="1"/>
    <col min="10" max="10" width="17" customWidth="1"/>
    <col min="11" max="11" width="15" customWidth="1"/>
    <col min="12" max="12" width="22" customWidth="1"/>
    <col min="13" max="13" width="12" customWidth="1"/>
    <col min="14" max="14" width="13" customWidth="1"/>
    <col min="15" max="16" width="12" customWidth="1"/>
    <col min="17" max="17" width="16" customWidth="1"/>
    <col min="18" max="21" width="22" customWidth="1"/>
    <col min="22" max="22" width="24" customWidth="1"/>
    <col min="23" max="23" width="14" customWidth="1"/>
    <col min="24" max="24" width="17" customWidth="1"/>
    <col min="25" max="25" width="22" customWidth="1"/>
    <col min="26" max="26" width="34" customWidth="1"/>
    <col min="27" max="27" width="16" customWidth="1"/>
    <col min="28" max="28" width="14" customWidth="1"/>
    <col min="29" max="29" width="40" customWidth="1"/>
  </cols>
  <sheetData>
    <row r="2" spans="1:29" ht="31.95" customHeight="1">
      <c r="A2" s="8" t="s">
        <v>76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spans="1:29" ht="31.9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pans="1:29" ht="14.4">
      <c r="A4" s="10" t="s">
        <v>77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29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>
      <c r="A6" s="12" t="s">
        <v>78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 spans="1:29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>
      <c r="A8" s="2" t="s">
        <v>79</v>
      </c>
      <c r="B8" s="2" t="s">
        <v>14</v>
      </c>
      <c r="C8" s="2" t="s">
        <v>80</v>
      </c>
      <c r="D8" s="2" t="s">
        <v>81</v>
      </c>
      <c r="E8" s="2" t="s">
        <v>32</v>
      </c>
      <c r="F8" s="2" t="s">
        <v>38</v>
      </c>
      <c r="G8" s="2" t="s">
        <v>82</v>
      </c>
      <c r="H8" s="2" t="s">
        <v>83</v>
      </c>
      <c r="I8" s="2" t="s">
        <v>84</v>
      </c>
      <c r="J8" s="2" t="s">
        <v>85</v>
      </c>
      <c r="K8" s="2" t="s">
        <v>86</v>
      </c>
      <c r="L8" s="2" t="s">
        <v>54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>
      <c r="A9" s="7">
        <f>COUNTA($A$15:$A$214)</f>
        <v>0</v>
      </c>
      <c r="B9" s="7">
        <f>COUNTIF($U$15:$U$214,"En análisis")</f>
        <v>0</v>
      </c>
      <c r="C9" s="7">
        <f>COUNTIF($U$15:$U$214,"Pendiente de aprobación")</f>
        <v>0</v>
      </c>
      <c r="D9" s="7">
        <f>COUNTIF($T$15:$T$214,"Aprobar*")</f>
        <v>0</v>
      </c>
      <c r="E9" s="7">
        <f>COUNTIF($U$15:$U$214,"En implementación")</f>
        <v>0</v>
      </c>
      <c r="F9" s="7">
        <f>COUNTIF($U$15:$U$214,"En validación")</f>
        <v>0</v>
      </c>
      <c r="G9" s="7">
        <f>COUNTIF($U$15:$U$214,"Cerrado")</f>
        <v>0</v>
      </c>
      <c r="H9" s="7">
        <f>COUNTIF($T$15:$T$214,"Rechazar")</f>
        <v>0</v>
      </c>
      <c r="I9" s="7">
        <f ca="1">COUNTIFS($W$15:$W$214,"&gt;0",$W$15:$W$214,"&lt;"&amp;TODAY(),$U$15:$U$214,"&lt;&gt;Cerrado",$U$15:$U$214,"&lt;&gt;Rechazado",$U$15:$U$214,"&lt;&gt;Cancelado")</f>
        <v>0</v>
      </c>
      <c r="J9" s="7">
        <f>COUNTIF($P$15:$P$214,"Crítico")</f>
        <v>0</v>
      </c>
      <c r="K9" s="7">
        <f>COUNTIF($K$15:$K$214,"Alto")</f>
        <v>0</v>
      </c>
      <c r="L9" s="7" t="str">
        <f ca="1">IF(I9&gt;0,"REQUIERE ATENCIÓN","AL DÍA")</f>
        <v>AL DÍA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31.95" customHeight="1">
      <c r="A11" s="13" t="s">
        <v>87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spans="1:29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48" customHeight="1">
      <c r="A14" s="2" t="s">
        <v>88</v>
      </c>
      <c r="B14" s="2" t="s">
        <v>89</v>
      </c>
      <c r="C14" s="2" t="s">
        <v>11</v>
      </c>
      <c r="D14" s="2" t="s">
        <v>90</v>
      </c>
      <c r="E14" s="2" t="s">
        <v>91</v>
      </c>
      <c r="F14" s="2" t="s">
        <v>92</v>
      </c>
      <c r="G14" s="2" t="s">
        <v>93</v>
      </c>
      <c r="H14" s="2" t="s">
        <v>94</v>
      </c>
      <c r="I14" s="2" t="s">
        <v>95</v>
      </c>
      <c r="J14" s="2" t="s">
        <v>96</v>
      </c>
      <c r="K14" s="2" t="s">
        <v>97</v>
      </c>
      <c r="L14" s="2" t="s">
        <v>98</v>
      </c>
      <c r="M14" s="2" t="s">
        <v>99</v>
      </c>
      <c r="N14" s="2" t="s">
        <v>100</v>
      </c>
      <c r="O14" s="2" t="s">
        <v>101</v>
      </c>
      <c r="P14" s="2" t="s">
        <v>102</v>
      </c>
      <c r="Q14" s="2" t="s">
        <v>103</v>
      </c>
      <c r="R14" s="2" t="s">
        <v>104</v>
      </c>
      <c r="S14" s="2" t="s">
        <v>105</v>
      </c>
      <c r="T14" s="2" t="s">
        <v>106</v>
      </c>
      <c r="U14" s="2" t="s">
        <v>54</v>
      </c>
      <c r="V14" s="2" t="s">
        <v>107</v>
      </c>
      <c r="W14" s="2" t="s">
        <v>108</v>
      </c>
      <c r="X14" s="2" t="s">
        <v>109</v>
      </c>
      <c r="Y14" s="2" t="s">
        <v>110</v>
      </c>
      <c r="Z14" s="2" t="s">
        <v>111</v>
      </c>
      <c r="AA14" s="2" t="s">
        <v>112</v>
      </c>
      <c r="AB14" s="2" t="s">
        <v>113</v>
      </c>
      <c r="AC14" s="2" t="s">
        <v>114</v>
      </c>
    </row>
    <row r="15" spans="1:29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 t="str">
        <f t="shared" ref="O15:O46" si="0">IF(OR(M15="",N15=""),"",M15*N15)</f>
        <v/>
      </c>
      <c r="P15" s="5" t="str">
        <f t="shared" ref="P15:P46" si="1">IF(O15="","",IF(O15&lt;=4,"Bajo",IF(O15&lt;=9,"Medio",IF(O15&lt;=16,"Alto","Crítico"))))</f>
        <v/>
      </c>
      <c r="Q15" s="5"/>
      <c r="R15" s="5"/>
      <c r="S15" s="5"/>
      <c r="T15" s="5"/>
      <c r="U15" s="5"/>
      <c r="V15" s="5"/>
      <c r="W15" s="6"/>
      <c r="X15" s="6"/>
      <c r="Y15" s="5"/>
      <c r="Z15" s="5"/>
      <c r="AA15" s="5"/>
      <c r="AB15" s="6"/>
      <c r="AC15" s="5"/>
    </row>
    <row r="16" spans="1:29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 t="str">
        <f t="shared" si="0"/>
        <v/>
      </c>
      <c r="P16" s="5" t="str">
        <f t="shared" si="1"/>
        <v/>
      </c>
      <c r="Q16" s="5"/>
      <c r="R16" s="5"/>
      <c r="S16" s="5"/>
      <c r="T16" s="5"/>
      <c r="U16" s="5"/>
      <c r="V16" s="5"/>
      <c r="W16" s="6"/>
      <c r="X16" s="6"/>
      <c r="Y16" s="5"/>
      <c r="Z16" s="5"/>
      <c r="AA16" s="5"/>
      <c r="AB16" s="6"/>
      <c r="AC16" s="5"/>
    </row>
    <row r="17" spans="1:29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 t="str">
        <f t="shared" si="0"/>
        <v/>
      </c>
      <c r="P17" s="5" t="str">
        <f t="shared" si="1"/>
        <v/>
      </c>
      <c r="Q17" s="5"/>
      <c r="R17" s="5"/>
      <c r="S17" s="5"/>
      <c r="T17" s="5"/>
      <c r="U17" s="5"/>
      <c r="V17" s="5"/>
      <c r="W17" s="6"/>
      <c r="X17" s="6"/>
      <c r="Y17" s="5"/>
      <c r="Z17" s="5"/>
      <c r="AA17" s="5"/>
      <c r="AB17" s="6"/>
      <c r="AC17" s="5"/>
    </row>
    <row r="18" spans="1:29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 t="str">
        <f t="shared" si="0"/>
        <v/>
      </c>
      <c r="P18" s="5" t="str">
        <f t="shared" si="1"/>
        <v/>
      </c>
      <c r="Q18" s="5"/>
      <c r="R18" s="5"/>
      <c r="S18" s="5"/>
      <c r="T18" s="5"/>
      <c r="U18" s="5"/>
      <c r="V18" s="5"/>
      <c r="W18" s="6"/>
      <c r="X18" s="6"/>
      <c r="Y18" s="5"/>
      <c r="Z18" s="5"/>
      <c r="AA18" s="5"/>
      <c r="AB18" s="6"/>
      <c r="AC18" s="5"/>
    </row>
    <row r="19" spans="1:29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 t="str">
        <f t="shared" si="0"/>
        <v/>
      </c>
      <c r="P19" s="5" t="str">
        <f t="shared" si="1"/>
        <v/>
      </c>
      <c r="Q19" s="5"/>
      <c r="R19" s="5"/>
      <c r="S19" s="5"/>
      <c r="T19" s="5"/>
      <c r="U19" s="5"/>
      <c r="V19" s="5"/>
      <c r="W19" s="6"/>
      <c r="X19" s="6"/>
      <c r="Y19" s="5"/>
      <c r="Z19" s="5"/>
      <c r="AA19" s="5"/>
      <c r="AB19" s="6"/>
      <c r="AC19" s="5"/>
    </row>
    <row r="20" spans="1:29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 t="str">
        <f t="shared" si="0"/>
        <v/>
      </c>
      <c r="P20" s="5" t="str">
        <f t="shared" si="1"/>
        <v/>
      </c>
      <c r="Q20" s="5"/>
      <c r="R20" s="5"/>
      <c r="S20" s="5"/>
      <c r="T20" s="5"/>
      <c r="U20" s="5"/>
      <c r="V20" s="5"/>
      <c r="W20" s="6"/>
      <c r="X20" s="6"/>
      <c r="Y20" s="5"/>
      <c r="Z20" s="5"/>
      <c r="AA20" s="5"/>
      <c r="AB20" s="6"/>
      <c r="AC20" s="5"/>
    </row>
    <row r="21" spans="1:29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 t="str">
        <f t="shared" si="0"/>
        <v/>
      </c>
      <c r="P21" s="5" t="str">
        <f t="shared" si="1"/>
        <v/>
      </c>
      <c r="Q21" s="5"/>
      <c r="R21" s="5"/>
      <c r="S21" s="5"/>
      <c r="T21" s="5"/>
      <c r="U21" s="5"/>
      <c r="V21" s="5"/>
      <c r="W21" s="6"/>
      <c r="X21" s="6"/>
      <c r="Y21" s="5"/>
      <c r="Z21" s="5"/>
      <c r="AA21" s="5"/>
      <c r="AB21" s="6"/>
      <c r="AC21" s="5"/>
    </row>
    <row r="22" spans="1:29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 t="str">
        <f t="shared" si="0"/>
        <v/>
      </c>
      <c r="P22" s="5" t="str">
        <f t="shared" si="1"/>
        <v/>
      </c>
      <c r="Q22" s="5"/>
      <c r="R22" s="5"/>
      <c r="S22" s="5"/>
      <c r="T22" s="5"/>
      <c r="U22" s="5"/>
      <c r="V22" s="5"/>
      <c r="W22" s="6"/>
      <c r="X22" s="6"/>
      <c r="Y22" s="5"/>
      <c r="Z22" s="5"/>
      <c r="AA22" s="5"/>
      <c r="AB22" s="6"/>
      <c r="AC22" s="5"/>
    </row>
    <row r="23" spans="1:29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 t="str">
        <f t="shared" si="0"/>
        <v/>
      </c>
      <c r="P23" s="5" t="str">
        <f t="shared" si="1"/>
        <v/>
      </c>
      <c r="Q23" s="5"/>
      <c r="R23" s="5"/>
      <c r="S23" s="5"/>
      <c r="T23" s="5"/>
      <c r="U23" s="5"/>
      <c r="V23" s="5"/>
      <c r="W23" s="6"/>
      <c r="X23" s="6"/>
      <c r="Y23" s="5"/>
      <c r="Z23" s="5"/>
      <c r="AA23" s="5"/>
      <c r="AB23" s="6"/>
      <c r="AC23" s="5"/>
    </row>
    <row r="24" spans="1:29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 t="str">
        <f t="shared" si="0"/>
        <v/>
      </c>
      <c r="P24" s="5" t="str">
        <f t="shared" si="1"/>
        <v/>
      </c>
      <c r="Q24" s="5"/>
      <c r="R24" s="5"/>
      <c r="S24" s="5"/>
      <c r="T24" s="5"/>
      <c r="U24" s="5"/>
      <c r="V24" s="5"/>
      <c r="W24" s="6"/>
      <c r="X24" s="6"/>
      <c r="Y24" s="5"/>
      <c r="Z24" s="5"/>
      <c r="AA24" s="5"/>
      <c r="AB24" s="6"/>
      <c r="AC24" s="5"/>
    </row>
    <row r="25" spans="1:29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 t="str">
        <f t="shared" si="0"/>
        <v/>
      </c>
      <c r="P25" s="5" t="str">
        <f t="shared" si="1"/>
        <v/>
      </c>
      <c r="Q25" s="5"/>
      <c r="R25" s="5"/>
      <c r="S25" s="5"/>
      <c r="T25" s="5"/>
      <c r="U25" s="5"/>
      <c r="V25" s="5"/>
      <c r="W25" s="6"/>
      <c r="X25" s="6"/>
      <c r="Y25" s="5"/>
      <c r="Z25" s="5"/>
      <c r="AA25" s="5"/>
      <c r="AB25" s="6"/>
      <c r="AC25" s="5"/>
    </row>
    <row r="26" spans="1:29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 t="str">
        <f t="shared" si="0"/>
        <v/>
      </c>
      <c r="P26" s="5" t="str">
        <f t="shared" si="1"/>
        <v/>
      </c>
      <c r="Q26" s="5"/>
      <c r="R26" s="5"/>
      <c r="S26" s="5"/>
      <c r="T26" s="5"/>
      <c r="U26" s="5"/>
      <c r="V26" s="5"/>
      <c r="W26" s="6"/>
      <c r="X26" s="6"/>
      <c r="Y26" s="5"/>
      <c r="Z26" s="5"/>
      <c r="AA26" s="5"/>
      <c r="AB26" s="6"/>
      <c r="AC26" s="5"/>
    </row>
    <row r="27" spans="1:29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 t="str">
        <f t="shared" si="0"/>
        <v/>
      </c>
      <c r="P27" s="5" t="str">
        <f t="shared" si="1"/>
        <v/>
      </c>
      <c r="Q27" s="5"/>
      <c r="R27" s="5"/>
      <c r="S27" s="5"/>
      <c r="T27" s="5"/>
      <c r="U27" s="5"/>
      <c r="V27" s="5"/>
      <c r="W27" s="6"/>
      <c r="X27" s="6"/>
      <c r="Y27" s="5"/>
      <c r="Z27" s="5"/>
      <c r="AA27" s="5"/>
      <c r="AB27" s="6"/>
      <c r="AC27" s="5"/>
    </row>
    <row r="28" spans="1:29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 t="str">
        <f t="shared" si="0"/>
        <v/>
      </c>
      <c r="P28" s="5" t="str">
        <f t="shared" si="1"/>
        <v/>
      </c>
      <c r="Q28" s="5"/>
      <c r="R28" s="5"/>
      <c r="S28" s="5"/>
      <c r="T28" s="5"/>
      <c r="U28" s="5"/>
      <c r="V28" s="5"/>
      <c r="W28" s="6"/>
      <c r="X28" s="6"/>
      <c r="Y28" s="5"/>
      <c r="Z28" s="5"/>
      <c r="AA28" s="5"/>
      <c r="AB28" s="6"/>
      <c r="AC28" s="5"/>
    </row>
    <row r="29" spans="1:29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 t="str">
        <f t="shared" si="0"/>
        <v/>
      </c>
      <c r="P29" s="5" t="str">
        <f t="shared" si="1"/>
        <v/>
      </c>
      <c r="Q29" s="5"/>
      <c r="R29" s="5"/>
      <c r="S29" s="5"/>
      <c r="T29" s="5"/>
      <c r="U29" s="5"/>
      <c r="V29" s="5"/>
      <c r="W29" s="6"/>
      <c r="X29" s="6"/>
      <c r="Y29" s="5"/>
      <c r="Z29" s="5"/>
      <c r="AA29" s="5"/>
      <c r="AB29" s="6"/>
      <c r="AC29" s="5"/>
    </row>
    <row r="30" spans="1:29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 t="str">
        <f t="shared" si="0"/>
        <v/>
      </c>
      <c r="P30" s="5" t="str">
        <f t="shared" si="1"/>
        <v/>
      </c>
      <c r="Q30" s="5"/>
      <c r="R30" s="5"/>
      <c r="S30" s="5"/>
      <c r="T30" s="5"/>
      <c r="U30" s="5"/>
      <c r="V30" s="5"/>
      <c r="W30" s="6"/>
      <c r="X30" s="6"/>
      <c r="Y30" s="5"/>
      <c r="Z30" s="5"/>
      <c r="AA30" s="5"/>
      <c r="AB30" s="6"/>
      <c r="AC30" s="5"/>
    </row>
    <row r="31" spans="1:29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 t="str">
        <f t="shared" si="0"/>
        <v/>
      </c>
      <c r="P31" s="5" t="str">
        <f t="shared" si="1"/>
        <v/>
      </c>
      <c r="Q31" s="5"/>
      <c r="R31" s="5"/>
      <c r="S31" s="5"/>
      <c r="T31" s="5"/>
      <c r="U31" s="5"/>
      <c r="V31" s="5"/>
      <c r="W31" s="6"/>
      <c r="X31" s="6"/>
      <c r="Y31" s="5"/>
      <c r="Z31" s="5"/>
      <c r="AA31" s="5"/>
      <c r="AB31" s="6"/>
      <c r="AC31" s="5"/>
    </row>
    <row r="32" spans="1:29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 t="str">
        <f t="shared" si="0"/>
        <v/>
      </c>
      <c r="P32" s="5" t="str">
        <f t="shared" si="1"/>
        <v/>
      </c>
      <c r="Q32" s="5"/>
      <c r="R32" s="5"/>
      <c r="S32" s="5"/>
      <c r="T32" s="5"/>
      <c r="U32" s="5"/>
      <c r="V32" s="5"/>
      <c r="W32" s="6"/>
      <c r="X32" s="6"/>
      <c r="Y32" s="5"/>
      <c r="Z32" s="5"/>
      <c r="AA32" s="5"/>
      <c r="AB32" s="6"/>
      <c r="AC32" s="5"/>
    </row>
    <row r="33" spans="1:29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 t="str">
        <f t="shared" si="0"/>
        <v/>
      </c>
      <c r="P33" s="5" t="str">
        <f t="shared" si="1"/>
        <v/>
      </c>
      <c r="Q33" s="5"/>
      <c r="R33" s="5"/>
      <c r="S33" s="5"/>
      <c r="T33" s="5"/>
      <c r="U33" s="5"/>
      <c r="V33" s="5"/>
      <c r="W33" s="6"/>
      <c r="X33" s="6"/>
      <c r="Y33" s="5"/>
      <c r="Z33" s="5"/>
      <c r="AA33" s="5"/>
      <c r="AB33" s="6"/>
      <c r="AC33" s="5"/>
    </row>
    <row r="34" spans="1:29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 t="str">
        <f t="shared" si="0"/>
        <v/>
      </c>
      <c r="P34" s="5" t="str">
        <f t="shared" si="1"/>
        <v/>
      </c>
      <c r="Q34" s="5"/>
      <c r="R34" s="5"/>
      <c r="S34" s="5"/>
      <c r="T34" s="5"/>
      <c r="U34" s="5"/>
      <c r="V34" s="5"/>
      <c r="W34" s="6"/>
      <c r="X34" s="6"/>
      <c r="Y34" s="5"/>
      <c r="Z34" s="5"/>
      <c r="AA34" s="5"/>
      <c r="AB34" s="6"/>
      <c r="AC34" s="5"/>
    </row>
    <row r="35" spans="1:29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 t="str">
        <f t="shared" si="0"/>
        <v/>
      </c>
      <c r="P35" s="5" t="str">
        <f t="shared" si="1"/>
        <v/>
      </c>
      <c r="Q35" s="5"/>
      <c r="R35" s="5"/>
      <c r="S35" s="5"/>
      <c r="T35" s="5"/>
      <c r="U35" s="5"/>
      <c r="V35" s="5"/>
      <c r="W35" s="6"/>
      <c r="X35" s="6"/>
      <c r="Y35" s="5"/>
      <c r="Z35" s="5"/>
      <c r="AA35" s="5"/>
      <c r="AB35" s="6"/>
      <c r="AC35" s="5"/>
    </row>
    <row r="36" spans="1:29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 t="str">
        <f t="shared" si="0"/>
        <v/>
      </c>
      <c r="P36" s="5" t="str">
        <f t="shared" si="1"/>
        <v/>
      </c>
      <c r="Q36" s="5"/>
      <c r="R36" s="5"/>
      <c r="S36" s="5"/>
      <c r="T36" s="5"/>
      <c r="U36" s="5"/>
      <c r="V36" s="5"/>
      <c r="W36" s="6"/>
      <c r="X36" s="6"/>
      <c r="Y36" s="5"/>
      <c r="Z36" s="5"/>
      <c r="AA36" s="5"/>
      <c r="AB36" s="6"/>
      <c r="AC36" s="5"/>
    </row>
    <row r="37" spans="1:29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 t="str">
        <f t="shared" si="0"/>
        <v/>
      </c>
      <c r="P37" s="5" t="str">
        <f t="shared" si="1"/>
        <v/>
      </c>
      <c r="Q37" s="5"/>
      <c r="R37" s="5"/>
      <c r="S37" s="5"/>
      <c r="T37" s="5"/>
      <c r="U37" s="5"/>
      <c r="V37" s="5"/>
      <c r="W37" s="6"/>
      <c r="X37" s="6"/>
      <c r="Y37" s="5"/>
      <c r="Z37" s="5"/>
      <c r="AA37" s="5"/>
      <c r="AB37" s="6"/>
      <c r="AC37" s="5"/>
    </row>
    <row r="38" spans="1:29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 t="str">
        <f t="shared" si="0"/>
        <v/>
      </c>
      <c r="P38" s="5" t="str">
        <f t="shared" si="1"/>
        <v/>
      </c>
      <c r="Q38" s="5"/>
      <c r="R38" s="5"/>
      <c r="S38" s="5"/>
      <c r="T38" s="5"/>
      <c r="U38" s="5"/>
      <c r="V38" s="5"/>
      <c r="W38" s="6"/>
      <c r="X38" s="6"/>
      <c r="Y38" s="5"/>
      <c r="Z38" s="5"/>
      <c r="AA38" s="5"/>
      <c r="AB38" s="6"/>
      <c r="AC38" s="5"/>
    </row>
    <row r="39" spans="1:29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 t="str">
        <f t="shared" si="0"/>
        <v/>
      </c>
      <c r="P39" s="5" t="str">
        <f t="shared" si="1"/>
        <v/>
      </c>
      <c r="Q39" s="5"/>
      <c r="R39" s="5"/>
      <c r="S39" s="5"/>
      <c r="T39" s="5"/>
      <c r="U39" s="5"/>
      <c r="V39" s="5"/>
      <c r="W39" s="6"/>
      <c r="X39" s="6"/>
      <c r="Y39" s="5"/>
      <c r="Z39" s="5"/>
      <c r="AA39" s="5"/>
      <c r="AB39" s="6"/>
      <c r="AC39" s="5"/>
    </row>
    <row r="40" spans="1:29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 t="str">
        <f t="shared" si="0"/>
        <v/>
      </c>
      <c r="P40" s="5" t="str">
        <f t="shared" si="1"/>
        <v/>
      </c>
      <c r="Q40" s="5"/>
      <c r="R40" s="5"/>
      <c r="S40" s="5"/>
      <c r="T40" s="5"/>
      <c r="U40" s="5"/>
      <c r="V40" s="5"/>
      <c r="W40" s="6"/>
      <c r="X40" s="6"/>
      <c r="Y40" s="5"/>
      <c r="Z40" s="5"/>
      <c r="AA40" s="5"/>
      <c r="AB40" s="6"/>
      <c r="AC40" s="5"/>
    </row>
    <row r="41" spans="1:29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 t="str">
        <f t="shared" si="0"/>
        <v/>
      </c>
      <c r="P41" s="5" t="str">
        <f t="shared" si="1"/>
        <v/>
      </c>
      <c r="Q41" s="5"/>
      <c r="R41" s="5"/>
      <c r="S41" s="5"/>
      <c r="T41" s="5"/>
      <c r="U41" s="5"/>
      <c r="V41" s="5"/>
      <c r="W41" s="6"/>
      <c r="X41" s="6"/>
      <c r="Y41" s="5"/>
      <c r="Z41" s="5"/>
      <c r="AA41" s="5"/>
      <c r="AB41" s="6"/>
      <c r="AC41" s="5"/>
    </row>
    <row r="42" spans="1:29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 t="str">
        <f t="shared" si="0"/>
        <v/>
      </c>
      <c r="P42" s="5" t="str">
        <f t="shared" si="1"/>
        <v/>
      </c>
      <c r="Q42" s="5"/>
      <c r="R42" s="5"/>
      <c r="S42" s="5"/>
      <c r="T42" s="5"/>
      <c r="U42" s="5"/>
      <c r="V42" s="5"/>
      <c r="W42" s="6"/>
      <c r="X42" s="6"/>
      <c r="Y42" s="5"/>
      <c r="Z42" s="5"/>
      <c r="AA42" s="5"/>
      <c r="AB42" s="6"/>
      <c r="AC42" s="5"/>
    </row>
    <row r="43" spans="1:29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 t="str">
        <f t="shared" si="0"/>
        <v/>
      </c>
      <c r="P43" s="5" t="str">
        <f t="shared" si="1"/>
        <v/>
      </c>
      <c r="Q43" s="5"/>
      <c r="R43" s="5"/>
      <c r="S43" s="5"/>
      <c r="T43" s="5"/>
      <c r="U43" s="5"/>
      <c r="V43" s="5"/>
      <c r="W43" s="6"/>
      <c r="X43" s="6"/>
      <c r="Y43" s="5"/>
      <c r="Z43" s="5"/>
      <c r="AA43" s="5"/>
      <c r="AB43" s="6"/>
      <c r="AC43" s="5"/>
    </row>
    <row r="44" spans="1:29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 t="str">
        <f t="shared" si="0"/>
        <v/>
      </c>
      <c r="P44" s="5" t="str">
        <f t="shared" si="1"/>
        <v/>
      </c>
      <c r="Q44" s="5"/>
      <c r="R44" s="5"/>
      <c r="S44" s="5"/>
      <c r="T44" s="5"/>
      <c r="U44" s="5"/>
      <c r="V44" s="5"/>
      <c r="W44" s="6"/>
      <c r="X44" s="6"/>
      <c r="Y44" s="5"/>
      <c r="Z44" s="5"/>
      <c r="AA44" s="5"/>
      <c r="AB44" s="6"/>
      <c r="AC44" s="5"/>
    </row>
    <row r="45" spans="1:29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 t="str">
        <f t="shared" si="0"/>
        <v/>
      </c>
      <c r="P45" s="5" t="str">
        <f t="shared" si="1"/>
        <v/>
      </c>
      <c r="Q45" s="5"/>
      <c r="R45" s="5"/>
      <c r="S45" s="5"/>
      <c r="T45" s="5"/>
      <c r="U45" s="5"/>
      <c r="V45" s="5"/>
      <c r="W45" s="6"/>
      <c r="X45" s="6"/>
      <c r="Y45" s="5"/>
      <c r="Z45" s="5"/>
      <c r="AA45" s="5"/>
      <c r="AB45" s="6"/>
      <c r="AC45" s="5"/>
    </row>
    <row r="46" spans="1:29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 t="str">
        <f t="shared" si="0"/>
        <v/>
      </c>
      <c r="P46" s="5" t="str">
        <f t="shared" si="1"/>
        <v/>
      </c>
      <c r="Q46" s="5"/>
      <c r="R46" s="5"/>
      <c r="S46" s="5"/>
      <c r="T46" s="5"/>
      <c r="U46" s="5"/>
      <c r="V46" s="5"/>
      <c r="W46" s="6"/>
      <c r="X46" s="6"/>
      <c r="Y46" s="5"/>
      <c r="Z46" s="5"/>
      <c r="AA46" s="5"/>
      <c r="AB46" s="6"/>
      <c r="AC46" s="5"/>
    </row>
    <row r="47" spans="1:29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 t="str">
        <f t="shared" ref="O47:O78" si="2">IF(OR(M47="",N47=""),"",M47*N47)</f>
        <v/>
      </c>
      <c r="P47" s="5" t="str">
        <f t="shared" ref="P47:P78" si="3">IF(O47="","",IF(O47&lt;=4,"Bajo",IF(O47&lt;=9,"Medio",IF(O47&lt;=16,"Alto","Crítico"))))</f>
        <v/>
      </c>
      <c r="Q47" s="5"/>
      <c r="R47" s="5"/>
      <c r="S47" s="5"/>
      <c r="T47" s="5"/>
      <c r="U47" s="5"/>
      <c r="V47" s="5"/>
      <c r="W47" s="6"/>
      <c r="X47" s="6"/>
      <c r="Y47" s="5"/>
      <c r="Z47" s="5"/>
      <c r="AA47" s="5"/>
      <c r="AB47" s="6"/>
      <c r="AC47" s="5"/>
    </row>
    <row r="48" spans="1:29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 t="str">
        <f t="shared" si="2"/>
        <v/>
      </c>
      <c r="P48" s="5" t="str">
        <f t="shared" si="3"/>
        <v/>
      </c>
      <c r="Q48" s="5"/>
      <c r="R48" s="5"/>
      <c r="S48" s="5"/>
      <c r="T48" s="5"/>
      <c r="U48" s="5"/>
      <c r="V48" s="5"/>
      <c r="W48" s="6"/>
      <c r="X48" s="6"/>
      <c r="Y48" s="5"/>
      <c r="Z48" s="5"/>
      <c r="AA48" s="5"/>
      <c r="AB48" s="6"/>
      <c r="AC48" s="5"/>
    </row>
    <row r="49" spans="1:29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 t="str">
        <f t="shared" si="2"/>
        <v/>
      </c>
      <c r="P49" s="5" t="str">
        <f t="shared" si="3"/>
        <v/>
      </c>
      <c r="Q49" s="5"/>
      <c r="R49" s="5"/>
      <c r="S49" s="5"/>
      <c r="T49" s="5"/>
      <c r="U49" s="5"/>
      <c r="V49" s="5"/>
      <c r="W49" s="6"/>
      <c r="X49" s="6"/>
      <c r="Y49" s="5"/>
      <c r="Z49" s="5"/>
      <c r="AA49" s="5"/>
      <c r="AB49" s="6"/>
      <c r="AC49" s="5"/>
    </row>
    <row r="50" spans="1:29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 t="str">
        <f t="shared" si="2"/>
        <v/>
      </c>
      <c r="P50" s="5" t="str">
        <f t="shared" si="3"/>
        <v/>
      </c>
      <c r="Q50" s="5"/>
      <c r="R50" s="5"/>
      <c r="S50" s="5"/>
      <c r="T50" s="5"/>
      <c r="U50" s="5"/>
      <c r="V50" s="5"/>
      <c r="W50" s="6"/>
      <c r="X50" s="6"/>
      <c r="Y50" s="5"/>
      <c r="Z50" s="5"/>
      <c r="AA50" s="5"/>
      <c r="AB50" s="6"/>
      <c r="AC50" s="5"/>
    </row>
    <row r="51" spans="1:29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 t="str">
        <f t="shared" si="2"/>
        <v/>
      </c>
      <c r="P51" s="5" t="str">
        <f t="shared" si="3"/>
        <v/>
      </c>
      <c r="Q51" s="5"/>
      <c r="R51" s="5"/>
      <c r="S51" s="5"/>
      <c r="T51" s="5"/>
      <c r="U51" s="5"/>
      <c r="V51" s="5"/>
      <c r="W51" s="6"/>
      <c r="X51" s="6"/>
      <c r="Y51" s="5"/>
      <c r="Z51" s="5"/>
      <c r="AA51" s="5"/>
      <c r="AB51" s="6"/>
      <c r="AC51" s="5"/>
    </row>
    <row r="52" spans="1:29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 t="str">
        <f t="shared" si="2"/>
        <v/>
      </c>
      <c r="P52" s="5" t="str">
        <f t="shared" si="3"/>
        <v/>
      </c>
      <c r="Q52" s="5"/>
      <c r="R52" s="5"/>
      <c r="S52" s="5"/>
      <c r="T52" s="5"/>
      <c r="U52" s="5"/>
      <c r="V52" s="5"/>
      <c r="W52" s="6"/>
      <c r="X52" s="6"/>
      <c r="Y52" s="5"/>
      <c r="Z52" s="5"/>
      <c r="AA52" s="5"/>
      <c r="AB52" s="6"/>
      <c r="AC52" s="5"/>
    </row>
    <row r="53" spans="1:29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 t="str">
        <f t="shared" si="2"/>
        <v/>
      </c>
      <c r="P53" s="5" t="str">
        <f t="shared" si="3"/>
        <v/>
      </c>
      <c r="Q53" s="5"/>
      <c r="R53" s="5"/>
      <c r="S53" s="5"/>
      <c r="T53" s="5"/>
      <c r="U53" s="5"/>
      <c r="V53" s="5"/>
      <c r="W53" s="6"/>
      <c r="X53" s="6"/>
      <c r="Y53" s="5"/>
      <c r="Z53" s="5"/>
      <c r="AA53" s="5"/>
      <c r="AB53" s="6"/>
      <c r="AC53" s="5"/>
    </row>
    <row r="54" spans="1:29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 t="str">
        <f t="shared" si="2"/>
        <v/>
      </c>
      <c r="P54" s="5" t="str">
        <f t="shared" si="3"/>
        <v/>
      </c>
      <c r="Q54" s="5"/>
      <c r="R54" s="5"/>
      <c r="S54" s="5"/>
      <c r="T54" s="5"/>
      <c r="U54" s="5"/>
      <c r="V54" s="5"/>
      <c r="W54" s="6"/>
      <c r="X54" s="6"/>
      <c r="Y54" s="5"/>
      <c r="Z54" s="5"/>
      <c r="AA54" s="5"/>
      <c r="AB54" s="6"/>
      <c r="AC54" s="5"/>
    </row>
    <row r="55" spans="1:29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 t="str">
        <f t="shared" si="2"/>
        <v/>
      </c>
      <c r="P55" s="5" t="str">
        <f t="shared" si="3"/>
        <v/>
      </c>
      <c r="Q55" s="5"/>
      <c r="R55" s="5"/>
      <c r="S55" s="5"/>
      <c r="T55" s="5"/>
      <c r="U55" s="5"/>
      <c r="V55" s="5"/>
      <c r="W55" s="6"/>
      <c r="X55" s="6"/>
      <c r="Y55" s="5"/>
      <c r="Z55" s="5"/>
      <c r="AA55" s="5"/>
      <c r="AB55" s="6"/>
      <c r="AC55" s="5"/>
    </row>
    <row r="56" spans="1:29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 t="str">
        <f t="shared" si="2"/>
        <v/>
      </c>
      <c r="P56" s="5" t="str">
        <f t="shared" si="3"/>
        <v/>
      </c>
      <c r="Q56" s="5"/>
      <c r="R56" s="5"/>
      <c r="S56" s="5"/>
      <c r="T56" s="5"/>
      <c r="U56" s="5"/>
      <c r="V56" s="5"/>
      <c r="W56" s="6"/>
      <c r="X56" s="6"/>
      <c r="Y56" s="5"/>
      <c r="Z56" s="5"/>
      <c r="AA56" s="5"/>
      <c r="AB56" s="6"/>
      <c r="AC56" s="5"/>
    </row>
    <row r="57" spans="1:29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 t="str">
        <f t="shared" si="2"/>
        <v/>
      </c>
      <c r="P57" s="5" t="str">
        <f t="shared" si="3"/>
        <v/>
      </c>
      <c r="Q57" s="5"/>
      <c r="R57" s="5"/>
      <c r="S57" s="5"/>
      <c r="T57" s="5"/>
      <c r="U57" s="5"/>
      <c r="V57" s="5"/>
      <c r="W57" s="6"/>
      <c r="X57" s="6"/>
      <c r="Y57" s="5"/>
      <c r="Z57" s="5"/>
      <c r="AA57" s="5"/>
      <c r="AB57" s="6"/>
      <c r="AC57" s="5"/>
    </row>
    <row r="58" spans="1:29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 t="str">
        <f t="shared" si="2"/>
        <v/>
      </c>
      <c r="P58" s="5" t="str">
        <f t="shared" si="3"/>
        <v/>
      </c>
      <c r="Q58" s="5"/>
      <c r="R58" s="5"/>
      <c r="S58" s="5"/>
      <c r="T58" s="5"/>
      <c r="U58" s="5"/>
      <c r="V58" s="5"/>
      <c r="W58" s="6"/>
      <c r="X58" s="6"/>
      <c r="Y58" s="5"/>
      <c r="Z58" s="5"/>
      <c r="AA58" s="5"/>
      <c r="AB58" s="6"/>
      <c r="AC58" s="5"/>
    </row>
    <row r="59" spans="1:29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 t="str">
        <f t="shared" si="2"/>
        <v/>
      </c>
      <c r="P59" s="5" t="str">
        <f t="shared" si="3"/>
        <v/>
      </c>
      <c r="Q59" s="5"/>
      <c r="R59" s="5"/>
      <c r="S59" s="5"/>
      <c r="T59" s="5"/>
      <c r="U59" s="5"/>
      <c r="V59" s="5"/>
      <c r="W59" s="6"/>
      <c r="X59" s="6"/>
      <c r="Y59" s="5"/>
      <c r="Z59" s="5"/>
      <c r="AA59" s="5"/>
      <c r="AB59" s="6"/>
      <c r="AC59" s="5"/>
    </row>
    <row r="60" spans="1:29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 t="str">
        <f t="shared" si="2"/>
        <v/>
      </c>
      <c r="P60" s="5" t="str">
        <f t="shared" si="3"/>
        <v/>
      </c>
      <c r="Q60" s="5"/>
      <c r="R60" s="5"/>
      <c r="S60" s="5"/>
      <c r="T60" s="5"/>
      <c r="U60" s="5"/>
      <c r="V60" s="5"/>
      <c r="W60" s="6"/>
      <c r="X60" s="6"/>
      <c r="Y60" s="5"/>
      <c r="Z60" s="5"/>
      <c r="AA60" s="5"/>
      <c r="AB60" s="6"/>
      <c r="AC60" s="5"/>
    </row>
    <row r="61" spans="1:29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 t="str">
        <f t="shared" si="2"/>
        <v/>
      </c>
      <c r="P61" s="5" t="str">
        <f t="shared" si="3"/>
        <v/>
      </c>
      <c r="Q61" s="5"/>
      <c r="R61" s="5"/>
      <c r="S61" s="5"/>
      <c r="T61" s="5"/>
      <c r="U61" s="5"/>
      <c r="V61" s="5"/>
      <c r="W61" s="6"/>
      <c r="X61" s="6"/>
      <c r="Y61" s="5"/>
      <c r="Z61" s="5"/>
      <c r="AA61" s="5"/>
      <c r="AB61" s="6"/>
      <c r="AC61" s="5"/>
    </row>
    <row r="62" spans="1:29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 t="str">
        <f t="shared" si="2"/>
        <v/>
      </c>
      <c r="P62" s="5" t="str">
        <f t="shared" si="3"/>
        <v/>
      </c>
      <c r="Q62" s="5"/>
      <c r="R62" s="5"/>
      <c r="S62" s="5"/>
      <c r="T62" s="5"/>
      <c r="U62" s="5"/>
      <c r="V62" s="5"/>
      <c r="W62" s="6"/>
      <c r="X62" s="6"/>
      <c r="Y62" s="5"/>
      <c r="Z62" s="5"/>
      <c r="AA62" s="5"/>
      <c r="AB62" s="6"/>
      <c r="AC62" s="5"/>
    </row>
    <row r="63" spans="1:29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 t="str">
        <f t="shared" si="2"/>
        <v/>
      </c>
      <c r="P63" s="5" t="str">
        <f t="shared" si="3"/>
        <v/>
      </c>
      <c r="Q63" s="5"/>
      <c r="R63" s="5"/>
      <c r="S63" s="5"/>
      <c r="T63" s="5"/>
      <c r="U63" s="5"/>
      <c r="V63" s="5"/>
      <c r="W63" s="6"/>
      <c r="X63" s="6"/>
      <c r="Y63" s="5"/>
      <c r="Z63" s="5"/>
      <c r="AA63" s="5"/>
      <c r="AB63" s="6"/>
      <c r="AC63" s="5"/>
    </row>
    <row r="64" spans="1:29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 t="str">
        <f t="shared" si="2"/>
        <v/>
      </c>
      <c r="P64" s="5" t="str">
        <f t="shared" si="3"/>
        <v/>
      </c>
      <c r="Q64" s="5"/>
      <c r="R64" s="5"/>
      <c r="S64" s="5"/>
      <c r="T64" s="5"/>
      <c r="U64" s="5"/>
      <c r="V64" s="5"/>
      <c r="W64" s="6"/>
      <c r="X64" s="6"/>
      <c r="Y64" s="5"/>
      <c r="Z64" s="5"/>
      <c r="AA64" s="5"/>
      <c r="AB64" s="6"/>
      <c r="AC64" s="5"/>
    </row>
    <row r="65" spans="1:29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 t="str">
        <f t="shared" si="2"/>
        <v/>
      </c>
      <c r="P65" s="5" t="str">
        <f t="shared" si="3"/>
        <v/>
      </c>
      <c r="Q65" s="5"/>
      <c r="R65" s="5"/>
      <c r="S65" s="5"/>
      <c r="T65" s="5"/>
      <c r="U65" s="5"/>
      <c r="V65" s="5"/>
      <c r="W65" s="6"/>
      <c r="X65" s="6"/>
      <c r="Y65" s="5"/>
      <c r="Z65" s="5"/>
      <c r="AA65" s="5"/>
      <c r="AB65" s="6"/>
      <c r="AC65" s="5"/>
    </row>
    <row r="66" spans="1:29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 t="str">
        <f t="shared" si="2"/>
        <v/>
      </c>
      <c r="P66" s="5" t="str">
        <f t="shared" si="3"/>
        <v/>
      </c>
      <c r="Q66" s="5"/>
      <c r="R66" s="5"/>
      <c r="S66" s="5"/>
      <c r="T66" s="5"/>
      <c r="U66" s="5"/>
      <c r="V66" s="5"/>
      <c r="W66" s="6"/>
      <c r="X66" s="6"/>
      <c r="Y66" s="5"/>
      <c r="Z66" s="5"/>
      <c r="AA66" s="5"/>
      <c r="AB66" s="6"/>
      <c r="AC66" s="5"/>
    </row>
    <row r="67" spans="1:29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 t="str">
        <f t="shared" si="2"/>
        <v/>
      </c>
      <c r="P67" s="5" t="str">
        <f t="shared" si="3"/>
        <v/>
      </c>
      <c r="Q67" s="5"/>
      <c r="R67" s="5"/>
      <c r="S67" s="5"/>
      <c r="T67" s="5"/>
      <c r="U67" s="5"/>
      <c r="V67" s="5"/>
      <c r="W67" s="6"/>
      <c r="X67" s="6"/>
      <c r="Y67" s="5"/>
      <c r="Z67" s="5"/>
      <c r="AA67" s="5"/>
      <c r="AB67" s="6"/>
      <c r="AC67" s="5"/>
    </row>
    <row r="68" spans="1:29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 t="str">
        <f t="shared" si="2"/>
        <v/>
      </c>
      <c r="P68" s="5" t="str">
        <f t="shared" si="3"/>
        <v/>
      </c>
      <c r="Q68" s="5"/>
      <c r="R68" s="5"/>
      <c r="S68" s="5"/>
      <c r="T68" s="5"/>
      <c r="U68" s="5"/>
      <c r="V68" s="5"/>
      <c r="W68" s="6"/>
      <c r="X68" s="6"/>
      <c r="Y68" s="5"/>
      <c r="Z68" s="5"/>
      <c r="AA68" s="5"/>
      <c r="AB68" s="6"/>
      <c r="AC68" s="5"/>
    </row>
    <row r="69" spans="1:29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 t="str">
        <f t="shared" si="2"/>
        <v/>
      </c>
      <c r="P69" s="5" t="str">
        <f t="shared" si="3"/>
        <v/>
      </c>
      <c r="Q69" s="5"/>
      <c r="R69" s="5"/>
      <c r="S69" s="5"/>
      <c r="T69" s="5"/>
      <c r="U69" s="5"/>
      <c r="V69" s="5"/>
      <c r="W69" s="6"/>
      <c r="X69" s="6"/>
      <c r="Y69" s="5"/>
      <c r="Z69" s="5"/>
      <c r="AA69" s="5"/>
      <c r="AB69" s="6"/>
      <c r="AC69" s="5"/>
    </row>
    <row r="70" spans="1:29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 t="str">
        <f t="shared" si="2"/>
        <v/>
      </c>
      <c r="P70" s="5" t="str">
        <f t="shared" si="3"/>
        <v/>
      </c>
      <c r="Q70" s="5"/>
      <c r="R70" s="5"/>
      <c r="S70" s="5"/>
      <c r="T70" s="5"/>
      <c r="U70" s="5"/>
      <c r="V70" s="5"/>
      <c r="W70" s="6"/>
      <c r="X70" s="6"/>
      <c r="Y70" s="5"/>
      <c r="Z70" s="5"/>
      <c r="AA70" s="5"/>
      <c r="AB70" s="6"/>
      <c r="AC70" s="5"/>
    </row>
    <row r="71" spans="1:29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 t="str">
        <f t="shared" si="2"/>
        <v/>
      </c>
      <c r="P71" s="5" t="str">
        <f t="shared" si="3"/>
        <v/>
      </c>
      <c r="Q71" s="5"/>
      <c r="R71" s="5"/>
      <c r="S71" s="5"/>
      <c r="T71" s="5"/>
      <c r="U71" s="5"/>
      <c r="V71" s="5"/>
      <c r="W71" s="6"/>
      <c r="X71" s="6"/>
      <c r="Y71" s="5"/>
      <c r="Z71" s="5"/>
      <c r="AA71" s="5"/>
      <c r="AB71" s="6"/>
      <c r="AC71" s="5"/>
    </row>
    <row r="72" spans="1:29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 t="str">
        <f t="shared" si="2"/>
        <v/>
      </c>
      <c r="P72" s="5" t="str">
        <f t="shared" si="3"/>
        <v/>
      </c>
      <c r="Q72" s="5"/>
      <c r="R72" s="5"/>
      <c r="S72" s="5"/>
      <c r="T72" s="5"/>
      <c r="U72" s="5"/>
      <c r="V72" s="5"/>
      <c r="W72" s="6"/>
      <c r="X72" s="6"/>
      <c r="Y72" s="5"/>
      <c r="Z72" s="5"/>
      <c r="AA72" s="5"/>
      <c r="AB72" s="6"/>
      <c r="AC72" s="5"/>
    </row>
    <row r="73" spans="1:29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 t="str">
        <f t="shared" si="2"/>
        <v/>
      </c>
      <c r="P73" s="5" t="str">
        <f t="shared" si="3"/>
        <v/>
      </c>
      <c r="Q73" s="5"/>
      <c r="R73" s="5"/>
      <c r="S73" s="5"/>
      <c r="T73" s="5"/>
      <c r="U73" s="5"/>
      <c r="V73" s="5"/>
      <c r="W73" s="6"/>
      <c r="X73" s="6"/>
      <c r="Y73" s="5"/>
      <c r="Z73" s="5"/>
      <c r="AA73" s="5"/>
      <c r="AB73" s="6"/>
      <c r="AC73" s="5"/>
    </row>
    <row r="74" spans="1:29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 t="str">
        <f t="shared" si="2"/>
        <v/>
      </c>
      <c r="P74" s="5" t="str">
        <f t="shared" si="3"/>
        <v/>
      </c>
      <c r="Q74" s="5"/>
      <c r="R74" s="5"/>
      <c r="S74" s="5"/>
      <c r="T74" s="5"/>
      <c r="U74" s="5"/>
      <c r="V74" s="5"/>
      <c r="W74" s="6"/>
      <c r="X74" s="6"/>
      <c r="Y74" s="5"/>
      <c r="Z74" s="5"/>
      <c r="AA74" s="5"/>
      <c r="AB74" s="6"/>
      <c r="AC74" s="5"/>
    </row>
    <row r="75" spans="1:29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 t="str">
        <f t="shared" si="2"/>
        <v/>
      </c>
      <c r="P75" s="5" t="str">
        <f t="shared" si="3"/>
        <v/>
      </c>
      <c r="Q75" s="5"/>
      <c r="R75" s="5"/>
      <c r="S75" s="5"/>
      <c r="T75" s="5"/>
      <c r="U75" s="5"/>
      <c r="V75" s="5"/>
      <c r="W75" s="6"/>
      <c r="X75" s="6"/>
      <c r="Y75" s="5"/>
      <c r="Z75" s="5"/>
      <c r="AA75" s="5"/>
      <c r="AB75" s="6"/>
      <c r="AC75" s="5"/>
    </row>
    <row r="76" spans="1:29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 t="str">
        <f t="shared" si="2"/>
        <v/>
      </c>
      <c r="P76" s="5" t="str">
        <f t="shared" si="3"/>
        <v/>
      </c>
      <c r="Q76" s="5"/>
      <c r="R76" s="5"/>
      <c r="S76" s="5"/>
      <c r="T76" s="5"/>
      <c r="U76" s="5"/>
      <c r="V76" s="5"/>
      <c r="W76" s="6"/>
      <c r="X76" s="6"/>
      <c r="Y76" s="5"/>
      <c r="Z76" s="5"/>
      <c r="AA76" s="5"/>
      <c r="AB76" s="6"/>
      <c r="AC76" s="5"/>
    </row>
    <row r="77" spans="1:29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 t="str">
        <f t="shared" si="2"/>
        <v/>
      </c>
      <c r="P77" s="5" t="str">
        <f t="shared" si="3"/>
        <v/>
      </c>
      <c r="Q77" s="5"/>
      <c r="R77" s="5"/>
      <c r="S77" s="5"/>
      <c r="T77" s="5"/>
      <c r="U77" s="5"/>
      <c r="V77" s="5"/>
      <c r="W77" s="6"/>
      <c r="X77" s="6"/>
      <c r="Y77" s="5"/>
      <c r="Z77" s="5"/>
      <c r="AA77" s="5"/>
      <c r="AB77" s="6"/>
      <c r="AC77" s="5"/>
    </row>
    <row r="78" spans="1:29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 t="str">
        <f t="shared" si="2"/>
        <v/>
      </c>
      <c r="P78" s="5" t="str">
        <f t="shared" si="3"/>
        <v/>
      </c>
      <c r="Q78" s="5"/>
      <c r="R78" s="5"/>
      <c r="S78" s="5"/>
      <c r="T78" s="5"/>
      <c r="U78" s="5"/>
      <c r="V78" s="5"/>
      <c r="W78" s="6"/>
      <c r="X78" s="6"/>
      <c r="Y78" s="5"/>
      <c r="Z78" s="5"/>
      <c r="AA78" s="5"/>
      <c r="AB78" s="6"/>
      <c r="AC78" s="5"/>
    </row>
    <row r="79" spans="1:29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 t="str">
        <f t="shared" ref="O79:O110" si="4">IF(OR(M79="",N79=""),"",M79*N79)</f>
        <v/>
      </c>
      <c r="P79" s="5" t="str">
        <f t="shared" ref="P79:P110" si="5">IF(O79="","",IF(O79&lt;=4,"Bajo",IF(O79&lt;=9,"Medio",IF(O79&lt;=16,"Alto","Crítico"))))</f>
        <v/>
      </c>
      <c r="Q79" s="5"/>
      <c r="R79" s="5"/>
      <c r="S79" s="5"/>
      <c r="T79" s="5"/>
      <c r="U79" s="5"/>
      <c r="V79" s="5"/>
      <c r="W79" s="6"/>
      <c r="X79" s="6"/>
      <c r="Y79" s="5"/>
      <c r="Z79" s="5"/>
      <c r="AA79" s="5"/>
      <c r="AB79" s="6"/>
      <c r="AC79" s="5"/>
    </row>
    <row r="80" spans="1:29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 t="str">
        <f t="shared" si="4"/>
        <v/>
      </c>
      <c r="P80" s="5" t="str">
        <f t="shared" si="5"/>
        <v/>
      </c>
      <c r="Q80" s="5"/>
      <c r="R80" s="5"/>
      <c r="S80" s="5"/>
      <c r="T80" s="5"/>
      <c r="U80" s="5"/>
      <c r="V80" s="5"/>
      <c r="W80" s="6"/>
      <c r="X80" s="6"/>
      <c r="Y80" s="5"/>
      <c r="Z80" s="5"/>
      <c r="AA80" s="5"/>
      <c r="AB80" s="6"/>
      <c r="AC80" s="5"/>
    </row>
    <row r="81" spans="1:29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 t="str">
        <f t="shared" si="4"/>
        <v/>
      </c>
      <c r="P81" s="5" t="str">
        <f t="shared" si="5"/>
        <v/>
      </c>
      <c r="Q81" s="5"/>
      <c r="R81" s="5"/>
      <c r="S81" s="5"/>
      <c r="T81" s="5"/>
      <c r="U81" s="5"/>
      <c r="V81" s="5"/>
      <c r="W81" s="6"/>
      <c r="X81" s="6"/>
      <c r="Y81" s="5"/>
      <c r="Z81" s="5"/>
      <c r="AA81" s="5"/>
      <c r="AB81" s="6"/>
      <c r="AC81" s="5"/>
    </row>
    <row r="82" spans="1:29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 t="str">
        <f t="shared" si="4"/>
        <v/>
      </c>
      <c r="P82" s="5" t="str">
        <f t="shared" si="5"/>
        <v/>
      </c>
      <c r="Q82" s="5"/>
      <c r="R82" s="5"/>
      <c r="S82" s="5"/>
      <c r="T82" s="5"/>
      <c r="U82" s="5"/>
      <c r="V82" s="5"/>
      <c r="W82" s="6"/>
      <c r="X82" s="6"/>
      <c r="Y82" s="5"/>
      <c r="Z82" s="5"/>
      <c r="AA82" s="5"/>
      <c r="AB82" s="6"/>
      <c r="AC82" s="5"/>
    </row>
    <row r="83" spans="1:29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 t="str">
        <f t="shared" si="4"/>
        <v/>
      </c>
      <c r="P83" s="5" t="str">
        <f t="shared" si="5"/>
        <v/>
      </c>
      <c r="Q83" s="5"/>
      <c r="R83" s="5"/>
      <c r="S83" s="5"/>
      <c r="T83" s="5"/>
      <c r="U83" s="5"/>
      <c r="V83" s="5"/>
      <c r="W83" s="6"/>
      <c r="X83" s="6"/>
      <c r="Y83" s="5"/>
      <c r="Z83" s="5"/>
      <c r="AA83" s="5"/>
      <c r="AB83" s="6"/>
      <c r="AC83" s="5"/>
    </row>
    <row r="84" spans="1:29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 t="str">
        <f t="shared" si="4"/>
        <v/>
      </c>
      <c r="P84" s="5" t="str">
        <f t="shared" si="5"/>
        <v/>
      </c>
      <c r="Q84" s="5"/>
      <c r="R84" s="5"/>
      <c r="S84" s="5"/>
      <c r="T84" s="5"/>
      <c r="U84" s="5"/>
      <c r="V84" s="5"/>
      <c r="W84" s="6"/>
      <c r="X84" s="6"/>
      <c r="Y84" s="5"/>
      <c r="Z84" s="5"/>
      <c r="AA84" s="5"/>
      <c r="AB84" s="6"/>
      <c r="AC84" s="5"/>
    </row>
    <row r="85" spans="1:29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 t="str">
        <f t="shared" si="4"/>
        <v/>
      </c>
      <c r="P85" s="5" t="str">
        <f t="shared" si="5"/>
        <v/>
      </c>
      <c r="Q85" s="5"/>
      <c r="R85" s="5"/>
      <c r="S85" s="5"/>
      <c r="T85" s="5"/>
      <c r="U85" s="5"/>
      <c r="V85" s="5"/>
      <c r="W85" s="6"/>
      <c r="X85" s="6"/>
      <c r="Y85" s="5"/>
      <c r="Z85" s="5"/>
      <c r="AA85" s="5"/>
      <c r="AB85" s="6"/>
      <c r="AC85" s="5"/>
    </row>
    <row r="86" spans="1:29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 t="str">
        <f t="shared" si="4"/>
        <v/>
      </c>
      <c r="P86" s="5" t="str">
        <f t="shared" si="5"/>
        <v/>
      </c>
      <c r="Q86" s="5"/>
      <c r="R86" s="5"/>
      <c r="S86" s="5"/>
      <c r="T86" s="5"/>
      <c r="U86" s="5"/>
      <c r="V86" s="5"/>
      <c r="W86" s="6"/>
      <c r="X86" s="6"/>
      <c r="Y86" s="5"/>
      <c r="Z86" s="5"/>
      <c r="AA86" s="5"/>
      <c r="AB86" s="6"/>
      <c r="AC86" s="5"/>
    </row>
    <row r="87" spans="1:29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 t="str">
        <f t="shared" si="4"/>
        <v/>
      </c>
      <c r="P87" s="5" t="str">
        <f t="shared" si="5"/>
        <v/>
      </c>
      <c r="Q87" s="5"/>
      <c r="R87" s="5"/>
      <c r="S87" s="5"/>
      <c r="T87" s="5"/>
      <c r="U87" s="5"/>
      <c r="V87" s="5"/>
      <c r="W87" s="6"/>
      <c r="X87" s="6"/>
      <c r="Y87" s="5"/>
      <c r="Z87" s="5"/>
      <c r="AA87" s="5"/>
      <c r="AB87" s="6"/>
      <c r="AC87" s="5"/>
    </row>
    <row r="88" spans="1:29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 t="str">
        <f t="shared" si="4"/>
        <v/>
      </c>
      <c r="P88" s="5" t="str">
        <f t="shared" si="5"/>
        <v/>
      </c>
      <c r="Q88" s="5"/>
      <c r="R88" s="5"/>
      <c r="S88" s="5"/>
      <c r="T88" s="5"/>
      <c r="U88" s="5"/>
      <c r="V88" s="5"/>
      <c r="W88" s="6"/>
      <c r="X88" s="6"/>
      <c r="Y88" s="5"/>
      <c r="Z88" s="5"/>
      <c r="AA88" s="5"/>
      <c r="AB88" s="6"/>
      <c r="AC88" s="5"/>
    </row>
    <row r="89" spans="1:29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 t="str">
        <f t="shared" si="4"/>
        <v/>
      </c>
      <c r="P89" s="5" t="str">
        <f t="shared" si="5"/>
        <v/>
      </c>
      <c r="Q89" s="5"/>
      <c r="R89" s="5"/>
      <c r="S89" s="5"/>
      <c r="T89" s="5"/>
      <c r="U89" s="5"/>
      <c r="V89" s="5"/>
      <c r="W89" s="6"/>
      <c r="X89" s="6"/>
      <c r="Y89" s="5"/>
      <c r="Z89" s="5"/>
      <c r="AA89" s="5"/>
      <c r="AB89" s="6"/>
      <c r="AC89" s="5"/>
    </row>
    <row r="90" spans="1:29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 t="str">
        <f t="shared" si="4"/>
        <v/>
      </c>
      <c r="P90" s="5" t="str">
        <f t="shared" si="5"/>
        <v/>
      </c>
      <c r="Q90" s="5"/>
      <c r="R90" s="5"/>
      <c r="S90" s="5"/>
      <c r="T90" s="5"/>
      <c r="U90" s="5"/>
      <c r="V90" s="5"/>
      <c r="W90" s="6"/>
      <c r="X90" s="6"/>
      <c r="Y90" s="5"/>
      <c r="Z90" s="5"/>
      <c r="AA90" s="5"/>
      <c r="AB90" s="6"/>
      <c r="AC90" s="5"/>
    </row>
    <row r="91" spans="1:29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 t="str">
        <f t="shared" si="4"/>
        <v/>
      </c>
      <c r="P91" s="5" t="str">
        <f t="shared" si="5"/>
        <v/>
      </c>
      <c r="Q91" s="5"/>
      <c r="R91" s="5"/>
      <c r="S91" s="5"/>
      <c r="T91" s="5"/>
      <c r="U91" s="5"/>
      <c r="V91" s="5"/>
      <c r="W91" s="6"/>
      <c r="X91" s="6"/>
      <c r="Y91" s="5"/>
      <c r="Z91" s="5"/>
      <c r="AA91" s="5"/>
      <c r="AB91" s="6"/>
      <c r="AC91" s="5"/>
    </row>
    <row r="92" spans="1:29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 t="str">
        <f t="shared" si="4"/>
        <v/>
      </c>
      <c r="P92" s="5" t="str">
        <f t="shared" si="5"/>
        <v/>
      </c>
      <c r="Q92" s="5"/>
      <c r="R92" s="5"/>
      <c r="S92" s="5"/>
      <c r="T92" s="5"/>
      <c r="U92" s="5"/>
      <c r="V92" s="5"/>
      <c r="W92" s="6"/>
      <c r="X92" s="6"/>
      <c r="Y92" s="5"/>
      <c r="Z92" s="5"/>
      <c r="AA92" s="5"/>
      <c r="AB92" s="6"/>
      <c r="AC92" s="5"/>
    </row>
    <row r="93" spans="1:29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 t="str">
        <f t="shared" si="4"/>
        <v/>
      </c>
      <c r="P93" s="5" t="str">
        <f t="shared" si="5"/>
        <v/>
      </c>
      <c r="Q93" s="5"/>
      <c r="R93" s="5"/>
      <c r="S93" s="5"/>
      <c r="T93" s="5"/>
      <c r="U93" s="5"/>
      <c r="V93" s="5"/>
      <c r="W93" s="6"/>
      <c r="X93" s="6"/>
      <c r="Y93" s="5"/>
      <c r="Z93" s="5"/>
      <c r="AA93" s="5"/>
      <c r="AB93" s="6"/>
      <c r="AC93" s="5"/>
    </row>
    <row r="94" spans="1:29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 t="str">
        <f t="shared" si="4"/>
        <v/>
      </c>
      <c r="P94" s="5" t="str">
        <f t="shared" si="5"/>
        <v/>
      </c>
      <c r="Q94" s="5"/>
      <c r="R94" s="5"/>
      <c r="S94" s="5"/>
      <c r="T94" s="5"/>
      <c r="U94" s="5"/>
      <c r="V94" s="5"/>
      <c r="W94" s="6"/>
      <c r="X94" s="6"/>
      <c r="Y94" s="5"/>
      <c r="Z94" s="5"/>
      <c r="AA94" s="5"/>
      <c r="AB94" s="6"/>
      <c r="AC94" s="5"/>
    </row>
    <row r="95" spans="1:29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 t="str">
        <f t="shared" si="4"/>
        <v/>
      </c>
      <c r="P95" s="5" t="str">
        <f t="shared" si="5"/>
        <v/>
      </c>
      <c r="Q95" s="5"/>
      <c r="R95" s="5"/>
      <c r="S95" s="5"/>
      <c r="T95" s="5"/>
      <c r="U95" s="5"/>
      <c r="V95" s="5"/>
      <c r="W95" s="6"/>
      <c r="X95" s="6"/>
      <c r="Y95" s="5"/>
      <c r="Z95" s="5"/>
      <c r="AA95" s="5"/>
      <c r="AB95" s="6"/>
      <c r="AC95" s="5"/>
    </row>
    <row r="96" spans="1:29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 t="str">
        <f t="shared" si="4"/>
        <v/>
      </c>
      <c r="P96" s="5" t="str">
        <f t="shared" si="5"/>
        <v/>
      </c>
      <c r="Q96" s="5"/>
      <c r="R96" s="5"/>
      <c r="S96" s="5"/>
      <c r="T96" s="5"/>
      <c r="U96" s="5"/>
      <c r="V96" s="5"/>
      <c r="W96" s="6"/>
      <c r="X96" s="6"/>
      <c r="Y96" s="5"/>
      <c r="Z96" s="5"/>
      <c r="AA96" s="5"/>
      <c r="AB96" s="6"/>
      <c r="AC96" s="5"/>
    </row>
    <row r="97" spans="1:29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 t="str">
        <f t="shared" si="4"/>
        <v/>
      </c>
      <c r="P97" s="5" t="str">
        <f t="shared" si="5"/>
        <v/>
      </c>
      <c r="Q97" s="5"/>
      <c r="R97" s="5"/>
      <c r="S97" s="5"/>
      <c r="T97" s="5"/>
      <c r="U97" s="5"/>
      <c r="V97" s="5"/>
      <c r="W97" s="6"/>
      <c r="X97" s="6"/>
      <c r="Y97" s="5"/>
      <c r="Z97" s="5"/>
      <c r="AA97" s="5"/>
      <c r="AB97" s="6"/>
      <c r="AC97" s="5"/>
    </row>
    <row r="98" spans="1:29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 t="str">
        <f t="shared" si="4"/>
        <v/>
      </c>
      <c r="P98" s="5" t="str">
        <f t="shared" si="5"/>
        <v/>
      </c>
      <c r="Q98" s="5"/>
      <c r="R98" s="5"/>
      <c r="S98" s="5"/>
      <c r="T98" s="5"/>
      <c r="U98" s="5"/>
      <c r="V98" s="5"/>
      <c r="W98" s="6"/>
      <c r="X98" s="6"/>
      <c r="Y98" s="5"/>
      <c r="Z98" s="5"/>
      <c r="AA98" s="5"/>
      <c r="AB98" s="6"/>
      <c r="AC98" s="5"/>
    </row>
    <row r="99" spans="1:29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 t="str">
        <f t="shared" si="4"/>
        <v/>
      </c>
      <c r="P99" s="5" t="str">
        <f t="shared" si="5"/>
        <v/>
      </c>
      <c r="Q99" s="5"/>
      <c r="R99" s="5"/>
      <c r="S99" s="5"/>
      <c r="T99" s="5"/>
      <c r="U99" s="5"/>
      <c r="V99" s="5"/>
      <c r="W99" s="6"/>
      <c r="X99" s="6"/>
      <c r="Y99" s="5"/>
      <c r="Z99" s="5"/>
      <c r="AA99" s="5"/>
      <c r="AB99" s="6"/>
      <c r="AC99" s="5"/>
    </row>
    <row r="100" spans="1:29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 t="str">
        <f t="shared" si="4"/>
        <v/>
      </c>
      <c r="P100" s="5" t="str">
        <f t="shared" si="5"/>
        <v/>
      </c>
      <c r="Q100" s="5"/>
      <c r="R100" s="5"/>
      <c r="S100" s="5"/>
      <c r="T100" s="5"/>
      <c r="U100" s="5"/>
      <c r="V100" s="5"/>
      <c r="W100" s="6"/>
      <c r="X100" s="6"/>
      <c r="Y100" s="5"/>
      <c r="Z100" s="5"/>
      <c r="AA100" s="5"/>
      <c r="AB100" s="6"/>
      <c r="AC100" s="5"/>
    </row>
    <row r="101" spans="1:29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 t="str">
        <f t="shared" si="4"/>
        <v/>
      </c>
      <c r="P101" s="5" t="str">
        <f t="shared" si="5"/>
        <v/>
      </c>
      <c r="Q101" s="5"/>
      <c r="R101" s="5"/>
      <c r="S101" s="5"/>
      <c r="T101" s="5"/>
      <c r="U101" s="5"/>
      <c r="V101" s="5"/>
      <c r="W101" s="6"/>
      <c r="X101" s="6"/>
      <c r="Y101" s="5"/>
      <c r="Z101" s="5"/>
      <c r="AA101" s="5"/>
      <c r="AB101" s="6"/>
      <c r="AC101" s="5"/>
    </row>
    <row r="102" spans="1:29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 t="str">
        <f t="shared" si="4"/>
        <v/>
      </c>
      <c r="P102" s="5" t="str">
        <f t="shared" si="5"/>
        <v/>
      </c>
      <c r="Q102" s="5"/>
      <c r="R102" s="5"/>
      <c r="S102" s="5"/>
      <c r="T102" s="5"/>
      <c r="U102" s="5"/>
      <c r="V102" s="5"/>
      <c r="W102" s="6"/>
      <c r="X102" s="6"/>
      <c r="Y102" s="5"/>
      <c r="Z102" s="5"/>
      <c r="AA102" s="5"/>
      <c r="AB102" s="6"/>
      <c r="AC102" s="5"/>
    </row>
    <row r="103" spans="1:29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 t="str">
        <f t="shared" si="4"/>
        <v/>
      </c>
      <c r="P103" s="5" t="str">
        <f t="shared" si="5"/>
        <v/>
      </c>
      <c r="Q103" s="5"/>
      <c r="R103" s="5"/>
      <c r="S103" s="5"/>
      <c r="T103" s="5"/>
      <c r="U103" s="5"/>
      <c r="V103" s="5"/>
      <c r="W103" s="6"/>
      <c r="X103" s="6"/>
      <c r="Y103" s="5"/>
      <c r="Z103" s="5"/>
      <c r="AA103" s="5"/>
      <c r="AB103" s="6"/>
      <c r="AC103" s="5"/>
    </row>
    <row r="104" spans="1:29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 t="str">
        <f t="shared" si="4"/>
        <v/>
      </c>
      <c r="P104" s="5" t="str">
        <f t="shared" si="5"/>
        <v/>
      </c>
      <c r="Q104" s="5"/>
      <c r="R104" s="5"/>
      <c r="S104" s="5"/>
      <c r="T104" s="5"/>
      <c r="U104" s="5"/>
      <c r="V104" s="5"/>
      <c r="W104" s="6"/>
      <c r="X104" s="6"/>
      <c r="Y104" s="5"/>
      <c r="Z104" s="5"/>
      <c r="AA104" s="5"/>
      <c r="AB104" s="6"/>
      <c r="AC104" s="5"/>
    </row>
    <row r="105" spans="1:29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 t="str">
        <f t="shared" si="4"/>
        <v/>
      </c>
      <c r="P105" s="5" t="str">
        <f t="shared" si="5"/>
        <v/>
      </c>
      <c r="Q105" s="5"/>
      <c r="R105" s="5"/>
      <c r="S105" s="5"/>
      <c r="T105" s="5"/>
      <c r="U105" s="5"/>
      <c r="V105" s="5"/>
      <c r="W105" s="6"/>
      <c r="X105" s="6"/>
      <c r="Y105" s="5"/>
      <c r="Z105" s="5"/>
      <c r="AA105" s="5"/>
      <c r="AB105" s="6"/>
      <c r="AC105" s="5"/>
    </row>
    <row r="106" spans="1:29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 t="str">
        <f t="shared" si="4"/>
        <v/>
      </c>
      <c r="P106" s="5" t="str">
        <f t="shared" si="5"/>
        <v/>
      </c>
      <c r="Q106" s="5"/>
      <c r="R106" s="5"/>
      <c r="S106" s="5"/>
      <c r="T106" s="5"/>
      <c r="U106" s="5"/>
      <c r="V106" s="5"/>
      <c r="W106" s="6"/>
      <c r="X106" s="6"/>
      <c r="Y106" s="5"/>
      <c r="Z106" s="5"/>
      <c r="AA106" s="5"/>
      <c r="AB106" s="6"/>
      <c r="AC106" s="5"/>
    </row>
    <row r="107" spans="1:29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 t="str">
        <f t="shared" si="4"/>
        <v/>
      </c>
      <c r="P107" s="5" t="str">
        <f t="shared" si="5"/>
        <v/>
      </c>
      <c r="Q107" s="5"/>
      <c r="R107" s="5"/>
      <c r="S107" s="5"/>
      <c r="T107" s="5"/>
      <c r="U107" s="5"/>
      <c r="V107" s="5"/>
      <c r="W107" s="6"/>
      <c r="X107" s="6"/>
      <c r="Y107" s="5"/>
      <c r="Z107" s="5"/>
      <c r="AA107" s="5"/>
      <c r="AB107" s="6"/>
      <c r="AC107" s="5"/>
    </row>
    <row r="108" spans="1:29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 t="str">
        <f t="shared" si="4"/>
        <v/>
      </c>
      <c r="P108" s="5" t="str">
        <f t="shared" si="5"/>
        <v/>
      </c>
      <c r="Q108" s="5"/>
      <c r="R108" s="5"/>
      <c r="S108" s="5"/>
      <c r="T108" s="5"/>
      <c r="U108" s="5"/>
      <c r="V108" s="5"/>
      <c r="W108" s="6"/>
      <c r="X108" s="6"/>
      <c r="Y108" s="5"/>
      <c r="Z108" s="5"/>
      <c r="AA108" s="5"/>
      <c r="AB108" s="6"/>
      <c r="AC108" s="5"/>
    </row>
    <row r="109" spans="1:29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 t="str">
        <f t="shared" si="4"/>
        <v/>
      </c>
      <c r="P109" s="5" t="str">
        <f t="shared" si="5"/>
        <v/>
      </c>
      <c r="Q109" s="5"/>
      <c r="R109" s="5"/>
      <c r="S109" s="5"/>
      <c r="T109" s="5"/>
      <c r="U109" s="5"/>
      <c r="V109" s="5"/>
      <c r="W109" s="6"/>
      <c r="X109" s="6"/>
      <c r="Y109" s="5"/>
      <c r="Z109" s="5"/>
      <c r="AA109" s="5"/>
      <c r="AB109" s="6"/>
      <c r="AC109" s="5"/>
    </row>
    <row r="110" spans="1:29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 t="str">
        <f t="shared" si="4"/>
        <v/>
      </c>
      <c r="P110" s="5" t="str">
        <f t="shared" si="5"/>
        <v/>
      </c>
      <c r="Q110" s="5"/>
      <c r="R110" s="5"/>
      <c r="S110" s="5"/>
      <c r="T110" s="5"/>
      <c r="U110" s="5"/>
      <c r="V110" s="5"/>
      <c r="W110" s="6"/>
      <c r="X110" s="6"/>
      <c r="Y110" s="5"/>
      <c r="Z110" s="5"/>
      <c r="AA110" s="5"/>
      <c r="AB110" s="6"/>
      <c r="AC110" s="5"/>
    </row>
    <row r="111" spans="1:29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 t="str">
        <f t="shared" ref="O111:O142" si="6">IF(OR(M111="",N111=""),"",M111*N111)</f>
        <v/>
      </c>
      <c r="P111" s="5" t="str">
        <f t="shared" ref="P111:P142" si="7">IF(O111="","",IF(O111&lt;=4,"Bajo",IF(O111&lt;=9,"Medio",IF(O111&lt;=16,"Alto","Crítico"))))</f>
        <v/>
      </c>
      <c r="Q111" s="5"/>
      <c r="R111" s="5"/>
      <c r="S111" s="5"/>
      <c r="T111" s="5"/>
      <c r="U111" s="5"/>
      <c r="V111" s="5"/>
      <c r="W111" s="6"/>
      <c r="X111" s="6"/>
      <c r="Y111" s="5"/>
      <c r="Z111" s="5"/>
      <c r="AA111" s="5"/>
      <c r="AB111" s="6"/>
      <c r="AC111" s="5"/>
    </row>
    <row r="112" spans="1:29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 t="str">
        <f t="shared" si="6"/>
        <v/>
      </c>
      <c r="P112" s="5" t="str">
        <f t="shared" si="7"/>
        <v/>
      </c>
      <c r="Q112" s="5"/>
      <c r="R112" s="5"/>
      <c r="S112" s="5"/>
      <c r="T112" s="5"/>
      <c r="U112" s="5"/>
      <c r="V112" s="5"/>
      <c r="W112" s="6"/>
      <c r="X112" s="6"/>
      <c r="Y112" s="5"/>
      <c r="Z112" s="5"/>
      <c r="AA112" s="5"/>
      <c r="AB112" s="6"/>
      <c r="AC112" s="5"/>
    </row>
    <row r="113" spans="1:29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 t="str">
        <f t="shared" si="6"/>
        <v/>
      </c>
      <c r="P113" s="5" t="str">
        <f t="shared" si="7"/>
        <v/>
      </c>
      <c r="Q113" s="5"/>
      <c r="R113" s="5"/>
      <c r="S113" s="5"/>
      <c r="T113" s="5"/>
      <c r="U113" s="5"/>
      <c r="V113" s="5"/>
      <c r="W113" s="6"/>
      <c r="X113" s="6"/>
      <c r="Y113" s="5"/>
      <c r="Z113" s="5"/>
      <c r="AA113" s="5"/>
      <c r="AB113" s="6"/>
      <c r="AC113" s="5"/>
    </row>
    <row r="114" spans="1:29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 t="str">
        <f t="shared" si="6"/>
        <v/>
      </c>
      <c r="P114" s="5" t="str">
        <f t="shared" si="7"/>
        <v/>
      </c>
      <c r="Q114" s="5"/>
      <c r="R114" s="5"/>
      <c r="S114" s="5"/>
      <c r="T114" s="5"/>
      <c r="U114" s="5"/>
      <c r="V114" s="5"/>
      <c r="W114" s="6"/>
      <c r="X114" s="6"/>
      <c r="Y114" s="5"/>
      <c r="Z114" s="5"/>
      <c r="AA114" s="5"/>
      <c r="AB114" s="6"/>
      <c r="AC114" s="5"/>
    </row>
    <row r="115" spans="1:29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 t="str">
        <f t="shared" si="6"/>
        <v/>
      </c>
      <c r="P115" s="5" t="str">
        <f t="shared" si="7"/>
        <v/>
      </c>
      <c r="Q115" s="5"/>
      <c r="R115" s="5"/>
      <c r="S115" s="5"/>
      <c r="T115" s="5"/>
      <c r="U115" s="5"/>
      <c r="V115" s="5"/>
      <c r="W115" s="6"/>
      <c r="X115" s="6"/>
      <c r="Y115" s="5"/>
      <c r="Z115" s="5"/>
      <c r="AA115" s="5"/>
      <c r="AB115" s="6"/>
      <c r="AC115" s="5"/>
    </row>
    <row r="116" spans="1:29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 t="str">
        <f t="shared" si="6"/>
        <v/>
      </c>
      <c r="P116" s="5" t="str">
        <f t="shared" si="7"/>
        <v/>
      </c>
      <c r="Q116" s="5"/>
      <c r="R116" s="5"/>
      <c r="S116" s="5"/>
      <c r="T116" s="5"/>
      <c r="U116" s="5"/>
      <c r="V116" s="5"/>
      <c r="W116" s="6"/>
      <c r="X116" s="6"/>
      <c r="Y116" s="5"/>
      <c r="Z116" s="5"/>
      <c r="AA116" s="5"/>
      <c r="AB116" s="6"/>
      <c r="AC116" s="5"/>
    </row>
    <row r="117" spans="1:29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 t="str">
        <f t="shared" si="6"/>
        <v/>
      </c>
      <c r="P117" s="5" t="str">
        <f t="shared" si="7"/>
        <v/>
      </c>
      <c r="Q117" s="5"/>
      <c r="R117" s="5"/>
      <c r="S117" s="5"/>
      <c r="T117" s="5"/>
      <c r="U117" s="5"/>
      <c r="V117" s="5"/>
      <c r="W117" s="6"/>
      <c r="X117" s="6"/>
      <c r="Y117" s="5"/>
      <c r="Z117" s="5"/>
      <c r="AA117" s="5"/>
      <c r="AB117" s="6"/>
      <c r="AC117" s="5"/>
    </row>
    <row r="118" spans="1:29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 t="str">
        <f t="shared" si="6"/>
        <v/>
      </c>
      <c r="P118" s="5" t="str">
        <f t="shared" si="7"/>
        <v/>
      </c>
      <c r="Q118" s="5"/>
      <c r="R118" s="5"/>
      <c r="S118" s="5"/>
      <c r="T118" s="5"/>
      <c r="U118" s="5"/>
      <c r="V118" s="5"/>
      <c r="W118" s="6"/>
      <c r="X118" s="6"/>
      <c r="Y118" s="5"/>
      <c r="Z118" s="5"/>
      <c r="AA118" s="5"/>
      <c r="AB118" s="6"/>
      <c r="AC118" s="5"/>
    </row>
    <row r="119" spans="1:29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 t="str">
        <f t="shared" si="6"/>
        <v/>
      </c>
      <c r="P119" s="5" t="str">
        <f t="shared" si="7"/>
        <v/>
      </c>
      <c r="Q119" s="5"/>
      <c r="R119" s="5"/>
      <c r="S119" s="5"/>
      <c r="T119" s="5"/>
      <c r="U119" s="5"/>
      <c r="V119" s="5"/>
      <c r="W119" s="6"/>
      <c r="X119" s="6"/>
      <c r="Y119" s="5"/>
      <c r="Z119" s="5"/>
      <c r="AA119" s="5"/>
      <c r="AB119" s="6"/>
      <c r="AC119" s="5"/>
    </row>
    <row r="120" spans="1:29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 t="str">
        <f t="shared" si="6"/>
        <v/>
      </c>
      <c r="P120" s="5" t="str">
        <f t="shared" si="7"/>
        <v/>
      </c>
      <c r="Q120" s="5"/>
      <c r="R120" s="5"/>
      <c r="S120" s="5"/>
      <c r="T120" s="5"/>
      <c r="U120" s="5"/>
      <c r="V120" s="5"/>
      <c r="W120" s="6"/>
      <c r="X120" s="6"/>
      <c r="Y120" s="5"/>
      <c r="Z120" s="5"/>
      <c r="AA120" s="5"/>
      <c r="AB120" s="6"/>
      <c r="AC120" s="5"/>
    </row>
    <row r="121" spans="1:29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 t="str">
        <f t="shared" si="6"/>
        <v/>
      </c>
      <c r="P121" s="5" t="str">
        <f t="shared" si="7"/>
        <v/>
      </c>
      <c r="Q121" s="5"/>
      <c r="R121" s="5"/>
      <c r="S121" s="5"/>
      <c r="T121" s="5"/>
      <c r="U121" s="5"/>
      <c r="V121" s="5"/>
      <c r="W121" s="6"/>
      <c r="X121" s="6"/>
      <c r="Y121" s="5"/>
      <c r="Z121" s="5"/>
      <c r="AA121" s="5"/>
      <c r="AB121" s="6"/>
      <c r="AC121" s="5"/>
    </row>
    <row r="122" spans="1:29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 t="str">
        <f t="shared" si="6"/>
        <v/>
      </c>
      <c r="P122" s="5" t="str">
        <f t="shared" si="7"/>
        <v/>
      </c>
      <c r="Q122" s="5"/>
      <c r="R122" s="5"/>
      <c r="S122" s="5"/>
      <c r="T122" s="5"/>
      <c r="U122" s="5"/>
      <c r="V122" s="5"/>
      <c r="W122" s="6"/>
      <c r="X122" s="6"/>
      <c r="Y122" s="5"/>
      <c r="Z122" s="5"/>
      <c r="AA122" s="5"/>
      <c r="AB122" s="6"/>
      <c r="AC122" s="5"/>
    </row>
    <row r="123" spans="1:29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 t="str">
        <f t="shared" si="6"/>
        <v/>
      </c>
      <c r="P123" s="5" t="str">
        <f t="shared" si="7"/>
        <v/>
      </c>
      <c r="Q123" s="5"/>
      <c r="R123" s="5"/>
      <c r="S123" s="5"/>
      <c r="T123" s="5"/>
      <c r="U123" s="5"/>
      <c r="V123" s="5"/>
      <c r="W123" s="6"/>
      <c r="X123" s="6"/>
      <c r="Y123" s="5"/>
      <c r="Z123" s="5"/>
      <c r="AA123" s="5"/>
      <c r="AB123" s="6"/>
      <c r="AC123" s="5"/>
    </row>
    <row r="124" spans="1:29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 t="str">
        <f t="shared" si="6"/>
        <v/>
      </c>
      <c r="P124" s="5" t="str">
        <f t="shared" si="7"/>
        <v/>
      </c>
      <c r="Q124" s="5"/>
      <c r="R124" s="5"/>
      <c r="S124" s="5"/>
      <c r="T124" s="5"/>
      <c r="U124" s="5"/>
      <c r="V124" s="5"/>
      <c r="W124" s="6"/>
      <c r="X124" s="6"/>
      <c r="Y124" s="5"/>
      <c r="Z124" s="5"/>
      <c r="AA124" s="5"/>
      <c r="AB124" s="6"/>
      <c r="AC124" s="5"/>
    </row>
    <row r="125" spans="1:29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 t="str">
        <f t="shared" si="6"/>
        <v/>
      </c>
      <c r="P125" s="5" t="str">
        <f t="shared" si="7"/>
        <v/>
      </c>
      <c r="Q125" s="5"/>
      <c r="R125" s="5"/>
      <c r="S125" s="5"/>
      <c r="T125" s="5"/>
      <c r="U125" s="5"/>
      <c r="V125" s="5"/>
      <c r="W125" s="6"/>
      <c r="X125" s="6"/>
      <c r="Y125" s="5"/>
      <c r="Z125" s="5"/>
      <c r="AA125" s="5"/>
      <c r="AB125" s="6"/>
      <c r="AC125" s="5"/>
    </row>
    <row r="126" spans="1:29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 t="str">
        <f t="shared" si="6"/>
        <v/>
      </c>
      <c r="P126" s="5" t="str">
        <f t="shared" si="7"/>
        <v/>
      </c>
      <c r="Q126" s="5"/>
      <c r="R126" s="5"/>
      <c r="S126" s="5"/>
      <c r="T126" s="5"/>
      <c r="U126" s="5"/>
      <c r="V126" s="5"/>
      <c r="W126" s="6"/>
      <c r="X126" s="6"/>
      <c r="Y126" s="5"/>
      <c r="Z126" s="5"/>
      <c r="AA126" s="5"/>
      <c r="AB126" s="6"/>
      <c r="AC126" s="5"/>
    </row>
    <row r="127" spans="1:29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 t="str">
        <f t="shared" si="6"/>
        <v/>
      </c>
      <c r="P127" s="5" t="str">
        <f t="shared" si="7"/>
        <v/>
      </c>
      <c r="Q127" s="5"/>
      <c r="R127" s="5"/>
      <c r="S127" s="5"/>
      <c r="T127" s="5"/>
      <c r="U127" s="5"/>
      <c r="V127" s="5"/>
      <c r="W127" s="6"/>
      <c r="X127" s="6"/>
      <c r="Y127" s="5"/>
      <c r="Z127" s="5"/>
      <c r="AA127" s="5"/>
      <c r="AB127" s="6"/>
      <c r="AC127" s="5"/>
    </row>
    <row r="128" spans="1:29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 t="str">
        <f t="shared" si="6"/>
        <v/>
      </c>
      <c r="P128" s="5" t="str">
        <f t="shared" si="7"/>
        <v/>
      </c>
      <c r="Q128" s="5"/>
      <c r="R128" s="5"/>
      <c r="S128" s="5"/>
      <c r="T128" s="5"/>
      <c r="U128" s="5"/>
      <c r="V128" s="5"/>
      <c r="W128" s="6"/>
      <c r="X128" s="6"/>
      <c r="Y128" s="5"/>
      <c r="Z128" s="5"/>
      <c r="AA128" s="5"/>
      <c r="AB128" s="6"/>
      <c r="AC128" s="5"/>
    </row>
    <row r="129" spans="1:29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 t="str">
        <f t="shared" si="6"/>
        <v/>
      </c>
      <c r="P129" s="5" t="str">
        <f t="shared" si="7"/>
        <v/>
      </c>
      <c r="Q129" s="5"/>
      <c r="R129" s="5"/>
      <c r="S129" s="5"/>
      <c r="T129" s="5"/>
      <c r="U129" s="5"/>
      <c r="V129" s="5"/>
      <c r="W129" s="6"/>
      <c r="X129" s="6"/>
      <c r="Y129" s="5"/>
      <c r="Z129" s="5"/>
      <c r="AA129" s="5"/>
      <c r="AB129" s="6"/>
      <c r="AC129" s="5"/>
    </row>
    <row r="130" spans="1:29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 t="str">
        <f t="shared" si="6"/>
        <v/>
      </c>
      <c r="P130" s="5" t="str">
        <f t="shared" si="7"/>
        <v/>
      </c>
      <c r="Q130" s="5"/>
      <c r="R130" s="5"/>
      <c r="S130" s="5"/>
      <c r="T130" s="5"/>
      <c r="U130" s="5"/>
      <c r="V130" s="5"/>
      <c r="W130" s="6"/>
      <c r="X130" s="6"/>
      <c r="Y130" s="5"/>
      <c r="Z130" s="5"/>
      <c r="AA130" s="5"/>
      <c r="AB130" s="6"/>
      <c r="AC130" s="5"/>
    </row>
    <row r="131" spans="1:29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 t="str">
        <f t="shared" si="6"/>
        <v/>
      </c>
      <c r="P131" s="5" t="str">
        <f t="shared" si="7"/>
        <v/>
      </c>
      <c r="Q131" s="5"/>
      <c r="R131" s="5"/>
      <c r="S131" s="5"/>
      <c r="T131" s="5"/>
      <c r="U131" s="5"/>
      <c r="V131" s="5"/>
      <c r="W131" s="6"/>
      <c r="X131" s="6"/>
      <c r="Y131" s="5"/>
      <c r="Z131" s="5"/>
      <c r="AA131" s="5"/>
      <c r="AB131" s="6"/>
      <c r="AC131" s="5"/>
    </row>
    <row r="132" spans="1:29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 t="str">
        <f t="shared" si="6"/>
        <v/>
      </c>
      <c r="P132" s="5" t="str">
        <f t="shared" si="7"/>
        <v/>
      </c>
      <c r="Q132" s="5"/>
      <c r="R132" s="5"/>
      <c r="S132" s="5"/>
      <c r="T132" s="5"/>
      <c r="U132" s="5"/>
      <c r="V132" s="5"/>
      <c r="W132" s="6"/>
      <c r="X132" s="6"/>
      <c r="Y132" s="5"/>
      <c r="Z132" s="5"/>
      <c r="AA132" s="5"/>
      <c r="AB132" s="6"/>
      <c r="AC132" s="5"/>
    </row>
    <row r="133" spans="1:29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 t="str">
        <f t="shared" si="6"/>
        <v/>
      </c>
      <c r="P133" s="5" t="str">
        <f t="shared" si="7"/>
        <v/>
      </c>
      <c r="Q133" s="5"/>
      <c r="R133" s="5"/>
      <c r="S133" s="5"/>
      <c r="T133" s="5"/>
      <c r="U133" s="5"/>
      <c r="V133" s="5"/>
      <c r="W133" s="6"/>
      <c r="X133" s="6"/>
      <c r="Y133" s="5"/>
      <c r="Z133" s="5"/>
      <c r="AA133" s="5"/>
      <c r="AB133" s="6"/>
      <c r="AC133" s="5"/>
    </row>
    <row r="134" spans="1:29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 t="str">
        <f t="shared" si="6"/>
        <v/>
      </c>
      <c r="P134" s="5" t="str">
        <f t="shared" si="7"/>
        <v/>
      </c>
      <c r="Q134" s="5"/>
      <c r="R134" s="5"/>
      <c r="S134" s="5"/>
      <c r="T134" s="5"/>
      <c r="U134" s="5"/>
      <c r="V134" s="5"/>
      <c r="W134" s="6"/>
      <c r="X134" s="6"/>
      <c r="Y134" s="5"/>
      <c r="Z134" s="5"/>
      <c r="AA134" s="5"/>
      <c r="AB134" s="6"/>
      <c r="AC134" s="5"/>
    </row>
    <row r="135" spans="1:29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 t="str">
        <f t="shared" si="6"/>
        <v/>
      </c>
      <c r="P135" s="5" t="str">
        <f t="shared" si="7"/>
        <v/>
      </c>
      <c r="Q135" s="5"/>
      <c r="R135" s="5"/>
      <c r="S135" s="5"/>
      <c r="T135" s="5"/>
      <c r="U135" s="5"/>
      <c r="V135" s="5"/>
      <c r="W135" s="6"/>
      <c r="X135" s="6"/>
      <c r="Y135" s="5"/>
      <c r="Z135" s="5"/>
      <c r="AA135" s="5"/>
      <c r="AB135" s="6"/>
      <c r="AC135" s="5"/>
    </row>
    <row r="136" spans="1:29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 t="str">
        <f t="shared" si="6"/>
        <v/>
      </c>
      <c r="P136" s="5" t="str">
        <f t="shared" si="7"/>
        <v/>
      </c>
      <c r="Q136" s="5"/>
      <c r="R136" s="5"/>
      <c r="S136" s="5"/>
      <c r="T136" s="5"/>
      <c r="U136" s="5"/>
      <c r="V136" s="5"/>
      <c r="W136" s="6"/>
      <c r="X136" s="6"/>
      <c r="Y136" s="5"/>
      <c r="Z136" s="5"/>
      <c r="AA136" s="5"/>
      <c r="AB136" s="6"/>
      <c r="AC136" s="5"/>
    </row>
    <row r="137" spans="1:29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 t="str">
        <f t="shared" si="6"/>
        <v/>
      </c>
      <c r="P137" s="5" t="str">
        <f t="shared" si="7"/>
        <v/>
      </c>
      <c r="Q137" s="5"/>
      <c r="R137" s="5"/>
      <c r="S137" s="5"/>
      <c r="T137" s="5"/>
      <c r="U137" s="5"/>
      <c r="V137" s="5"/>
      <c r="W137" s="6"/>
      <c r="X137" s="6"/>
      <c r="Y137" s="5"/>
      <c r="Z137" s="5"/>
      <c r="AA137" s="5"/>
      <c r="AB137" s="6"/>
      <c r="AC137" s="5"/>
    </row>
    <row r="138" spans="1:29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 t="str">
        <f t="shared" si="6"/>
        <v/>
      </c>
      <c r="P138" s="5" t="str">
        <f t="shared" si="7"/>
        <v/>
      </c>
      <c r="Q138" s="5"/>
      <c r="R138" s="5"/>
      <c r="S138" s="5"/>
      <c r="T138" s="5"/>
      <c r="U138" s="5"/>
      <c r="V138" s="5"/>
      <c r="W138" s="6"/>
      <c r="X138" s="6"/>
      <c r="Y138" s="5"/>
      <c r="Z138" s="5"/>
      <c r="AA138" s="5"/>
      <c r="AB138" s="6"/>
      <c r="AC138" s="5"/>
    </row>
    <row r="139" spans="1:29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 t="str">
        <f t="shared" si="6"/>
        <v/>
      </c>
      <c r="P139" s="5" t="str">
        <f t="shared" si="7"/>
        <v/>
      </c>
      <c r="Q139" s="5"/>
      <c r="R139" s="5"/>
      <c r="S139" s="5"/>
      <c r="T139" s="5"/>
      <c r="U139" s="5"/>
      <c r="V139" s="5"/>
      <c r="W139" s="6"/>
      <c r="X139" s="6"/>
      <c r="Y139" s="5"/>
      <c r="Z139" s="5"/>
      <c r="AA139" s="5"/>
      <c r="AB139" s="6"/>
      <c r="AC139" s="5"/>
    </row>
    <row r="140" spans="1:29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 t="str">
        <f t="shared" si="6"/>
        <v/>
      </c>
      <c r="P140" s="5" t="str">
        <f t="shared" si="7"/>
        <v/>
      </c>
      <c r="Q140" s="5"/>
      <c r="R140" s="5"/>
      <c r="S140" s="5"/>
      <c r="T140" s="5"/>
      <c r="U140" s="5"/>
      <c r="V140" s="5"/>
      <c r="W140" s="6"/>
      <c r="X140" s="6"/>
      <c r="Y140" s="5"/>
      <c r="Z140" s="5"/>
      <c r="AA140" s="5"/>
      <c r="AB140" s="6"/>
      <c r="AC140" s="5"/>
    </row>
    <row r="141" spans="1:29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 t="str">
        <f t="shared" si="6"/>
        <v/>
      </c>
      <c r="P141" s="5" t="str">
        <f t="shared" si="7"/>
        <v/>
      </c>
      <c r="Q141" s="5"/>
      <c r="R141" s="5"/>
      <c r="S141" s="5"/>
      <c r="T141" s="5"/>
      <c r="U141" s="5"/>
      <c r="V141" s="5"/>
      <c r="W141" s="6"/>
      <c r="X141" s="6"/>
      <c r="Y141" s="5"/>
      <c r="Z141" s="5"/>
      <c r="AA141" s="5"/>
      <c r="AB141" s="6"/>
      <c r="AC141" s="5"/>
    </row>
    <row r="142" spans="1:29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 t="str">
        <f t="shared" si="6"/>
        <v/>
      </c>
      <c r="P142" s="5" t="str">
        <f t="shared" si="7"/>
        <v/>
      </c>
      <c r="Q142" s="5"/>
      <c r="R142" s="5"/>
      <c r="S142" s="5"/>
      <c r="T142" s="5"/>
      <c r="U142" s="5"/>
      <c r="V142" s="5"/>
      <c r="W142" s="6"/>
      <c r="X142" s="6"/>
      <c r="Y142" s="5"/>
      <c r="Z142" s="5"/>
      <c r="AA142" s="5"/>
      <c r="AB142" s="6"/>
      <c r="AC142" s="5"/>
    </row>
    <row r="143" spans="1:29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 t="str">
        <f t="shared" ref="O143:O174" si="8">IF(OR(M143="",N143=""),"",M143*N143)</f>
        <v/>
      </c>
      <c r="P143" s="5" t="str">
        <f t="shared" ref="P143:P174" si="9">IF(O143="","",IF(O143&lt;=4,"Bajo",IF(O143&lt;=9,"Medio",IF(O143&lt;=16,"Alto","Crítico"))))</f>
        <v/>
      </c>
      <c r="Q143" s="5"/>
      <c r="R143" s="5"/>
      <c r="S143" s="5"/>
      <c r="T143" s="5"/>
      <c r="U143" s="5"/>
      <c r="V143" s="5"/>
      <c r="W143" s="6"/>
      <c r="X143" s="6"/>
      <c r="Y143" s="5"/>
      <c r="Z143" s="5"/>
      <c r="AA143" s="5"/>
      <c r="AB143" s="6"/>
      <c r="AC143" s="5"/>
    </row>
    <row r="144" spans="1:29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 t="str">
        <f t="shared" si="8"/>
        <v/>
      </c>
      <c r="P144" s="5" t="str">
        <f t="shared" si="9"/>
        <v/>
      </c>
      <c r="Q144" s="5"/>
      <c r="R144" s="5"/>
      <c r="S144" s="5"/>
      <c r="T144" s="5"/>
      <c r="U144" s="5"/>
      <c r="V144" s="5"/>
      <c r="W144" s="6"/>
      <c r="X144" s="6"/>
      <c r="Y144" s="5"/>
      <c r="Z144" s="5"/>
      <c r="AA144" s="5"/>
      <c r="AB144" s="6"/>
      <c r="AC144" s="5"/>
    </row>
    <row r="145" spans="1:29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 t="str">
        <f t="shared" si="8"/>
        <v/>
      </c>
      <c r="P145" s="5" t="str">
        <f t="shared" si="9"/>
        <v/>
      </c>
      <c r="Q145" s="5"/>
      <c r="R145" s="5"/>
      <c r="S145" s="5"/>
      <c r="T145" s="5"/>
      <c r="U145" s="5"/>
      <c r="V145" s="5"/>
      <c r="W145" s="6"/>
      <c r="X145" s="6"/>
      <c r="Y145" s="5"/>
      <c r="Z145" s="5"/>
      <c r="AA145" s="5"/>
      <c r="AB145" s="6"/>
      <c r="AC145" s="5"/>
    </row>
    <row r="146" spans="1:29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 t="str">
        <f t="shared" si="8"/>
        <v/>
      </c>
      <c r="P146" s="5" t="str">
        <f t="shared" si="9"/>
        <v/>
      </c>
      <c r="Q146" s="5"/>
      <c r="R146" s="5"/>
      <c r="S146" s="5"/>
      <c r="T146" s="5"/>
      <c r="U146" s="5"/>
      <c r="V146" s="5"/>
      <c r="W146" s="6"/>
      <c r="X146" s="6"/>
      <c r="Y146" s="5"/>
      <c r="Z146" s="5"/>
      <c r="AA146" s="5"/>
      <c r="AB146" s="6"/>
      <c r="AC146" s="5"/>
    </row>
    <row r="147" spans="1:29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 t="str">
        <f t="shared" si="8"/>
        <v/>
      </c>
      <c r="P147" s="5" t="str">
        <f t="shared" si="9"/>
        <v/>
      </c>
      <c r="Q147" s="5"/>
      <c r="R147" s="5"/>
      <c r="S147" s="5"/>
      <c r="T147" s="5"/>
      <c r="U147" s="5"/>
      <c r="V147" s="5"/>
      <c r="W147" s="6"/>
      <c r="X147" s="6"/>
      <c r="Y147" s="5"/>
      <c r="Z147" s="5"/>
      <c r="AA147" s="5"/>
      <c r="AB147" s="6"/>
      <c r="AC147" s="5"/>
    </row>
    <row r="148" spans="1:29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 t="str">
        <f t="shared" si="8"/>
        <v/>
      </c>
      <c r="P148" s="5" t="str">
        <f t="shared" si="9"/>
        <v/>
      </c>
      <c r="Q148" s="5"/>
      <c r="R148" s="5"/>
      <c r="S148" s="5"/>
      <c r="T148" s="5"/>
      <c r="U148" s="5"/>
      <c r="V148" s="5"/>
      <c r="W148" s="6"/>
      <c r="X148" s="6"/>
      <c r="Y148" s="5"/>
      <c r="Z148" s="5"/>
      <c r="AA148" s="5"/>
      <c r="AB148" s="6"/>
      <c r="AC148" s="5"/>
    </row>
    <row r="149" spans="1:29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 t="str">
        <f t="shared" si="8"/>
        <v/>
      </c>
      <c r="P149" s="5" t="str">
        <f t="shared" si="9"/>
        <v/>
      </c>
      <c r="Q149" s="5"/>
      <c r="R149" s="5"/>
      <c r="S149" s="5"/>
      <c r="T149" s="5"/>
      <c r="U149" s="5"/>
      <c r="V149" s="5"/>
      <c r="W149" s="6"/>
      <c r="X149" s="6"/>
      <c r="Y149" s="5"/>
      <c r="Z149" s="5"/>
      <c r="AA149" s="5"/>
      <c r="AB149" s="6"/>
      <c r="AC149" s="5"/>
    </row>
    <row r="150" spans="1:29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 t="str">
        <f t="shared" si="8"/>
        <v/>
      </c>
      <c r="P150" s="5" t="str">
        <f t="shared" si="9"/>
        <v/>
      </c>
      <c r="Q150" s="5"/>
      <c r="R150" s="5"/>
      <c r="S150" s="5"/>
      <c r="T150" s="5"/>
      <c r="U150" s="5"/>
      <c r="V150" s="5"/>
      <c r="W150" s="6"/>
      <c r="X150" s="6"/>
      <c r="Y150" s="5"/>
      <c r="Z150" s="5"/>
      <c r="AA150" s="5"/>
      <c r="AB150" s="6"/>
      <c r="AC150" s="5"/>
    </row>
    <row r="151" spans="1:29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 t="str">
        <f t="shared" si="8"/>
        <v/>
      </c>
      <c r="P151" s="5" t="str">
        <f t="shared" si="9"/>
        <v/>
      </c>
      <c r="Q151" s="5"/>
      <c r="R151" s="5"/>
      <c r="S151" s="5"/>
      <c r="T151" s="5"/>
      <c r="U151" s="5"/>
      <c r="V151" s="5"/>
      <c r="W151" s="6"/>
      <c r="X151" s="6"/>
      <c r="Y151" s="5"/>
      <c r="Z151" s="5"/>
      <c r="AA151" s="5"/>
      <c r="AB151" s="6"/>
      <c r="AC151" s="5"/>
    </row>
    <row r="152" spans="1:29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 t="str">
        <f t="shared" si="8"/>
        <v/>
      </c>
      <c r="P152" s="5" t="str">
        <f t="shared" si="9"/>
        <v/>
      </c>
      <c r="Q152" s="5"/>
      <c r="R152" s="5"/>
      <c r="S152" s="5"/>
      <c r="T152" s="5"/>
      <c r="U152" s="5"/>
      <c r="V152" s="5"/>
      <c r="W152" s="6"/>
      <c r="X152" s="6"/>
      <c r="Y152" s="5"/>
      <c r="Z152" s="5"/>
      <c r="AA152" s="5"/>
      <c r="AB152" s="6"/>
      <c r="AC152" s="5"/>
    </row>
    <row r="153" spans="1:29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 t="str">
        <f t="shared" si="8"/>
        <v/>
      </c>
      <c r="P153" s="5" t="str">
        <f t="shared" si="9"/>
        <v/>
      </c>
      <c r="Q153" s="5"/>
      <c r="R153" s="5"/>
      <c r="S153" s="5"/>
      <c r="T153" s="5"/>
      <c r="U153" s="5"/>
      <c r="V153" s="5"/>
      <c r="W153" s="6"/>
      <c r="X153" s="6"/>
      <c r="Y153" s="5"/>
      <c r="Z153" s="5"/>
      <c r="AA153" s="5"/>
      <c r="AB153" s="6"/>
      <c r="AC153" s="5"/>
    </row>
    <row r="154" spans="1:29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 t="str">
        <f t="shared" si="8"/>
        <v/>
      </c>
      <c r="P154" s="5" t="str">
        <f t="shared" si="9"/>
        <v/>
      </c>
      <c r="Q154" s="5"/>
      <c r="R154" s="5"/>
      <c r="S154" s="5"/>
      <c r="T154" s="5"/>
      <c r="U154" s="5"/>
      <c r="V154" s="5"/>
      <c r="W154" s="6"/>
      <c r="X154" s="6"/>
      <c r="Y154" s="5"/>
      <c r="Z154" s="5"/>
      <c r="AA154" s="5"/>
      <c r="AB154" s="6"/>
      <c r="AC154" s="5"/>
    </row>
    <row r="155" spans="1:29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 t="str">
        <f t="shared" si="8"/>
        <v/>
      </c>
      <c r="P155" s="5" t="str">
        <f t="shared" si="9"/>
        <v/>
      </c>
      <c r="Q155" s="5"/>
      <c r="R155" s="5"/>
      <c r="S155" s="5"/>
      <c r="T155" s="5"/>
      <c r="U155" s="5"/>
      <c r="V155" s="5"/>
      <c r="W155" s="6"/>
      <c r="X155" s="6"/>
      <c r="Y155" s="5"/>
      <c r="Z155" s="5"/>
      <c r="AA155" s="5"/>
      <c r="AB155" s="6"/>
      <c r="AC155" s="5"/>
    </row>
    <row r="156" spans="1:29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 t="str">
        <f t="shared" si="8"/>
        <v/>
      </c>
      <c r="P156" s="5" t="str">
        <f t="shared" si="9"/>
        <v/>
      </c>
      <c r="Q156" s="5"/>
      <c r="R156" s="5"/>
      <c r="S156" s="5"/>
      <c r="T156" s="5"/>
      <c r="U156" s="5"/>
      <c r="V156" s="5"/>
      <c r="W156" s="6"/>
      <c r="X156" s="6"/>
      <c r="Y156" s="5"/>
      <c r="Z156" s="5"/>
      <c r="AA156" s="5"/>
      <c r="AB156" s="6"/>
      <c r="AC156" s="5"/>
    </row>
    <row r="157" spans="1:29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 t="str">
        <f t="shared" si="8"/>
        <v/>
      </c>
      <c r="P157" s="5" t="str">
        <f t="shared" si="9"/>
        <v/>
      </c>
      <c r="Q157" s="5"/>
      <c r="R157" s="5"/>
      <c r="S157" s="5"/>
      <c r="T157" s="5"/>
      <c r="U157" s="5"/>
      <c r="V157" s="5"/>
      <c r="W157" s="6"/>
      <c r="X157" s="6"/>
      <c r="Y157" s="5"/>
      <c r="Z157" s="5"/>
      <c r="AA157" s="5"/>
      <c r="AB157" s="6"/>
      <c r="AC157" s="5"/>
    </row>
    <row r="158" spans="1:29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 t="str">
        <f t="shared" si="8"/>
        <v/>
      </c>
      <c r="P158" s="5" t="str">
        <f t="shared" si="9"/>
        <v/>
      </c>
      <c r="Q158" s="5"/>
      <c r="R158" s="5"/>
      <c r="S158" s="5"/>
      <c r="T158" s="5"/>
      <c r="U158" s="5"/>
      <c r="V158" s="5"/>
      <c r="W158" s="6"/>
      <c r="X158" s="6"/>
      <c r="Y158" s="5"/>
      <c r="Z158" s="5"/>
      <c r="AA158" s="5"/>
      <c r="AB158" s="6"/>
      <c r="AC158" s="5"/>
    </row>
    <row r="159" spans="1:29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 t="str">
        <f t="shared" si="8"/>
        <v/>
      </c>
      <c r="P159" s="5" t="str">
        <f t="shared" si="9"/>
        <v/>
      </c>
      <c r="Q159" s="5"/>
      <c r="R159" s="5"/>
      <c r="S159" s="5"/>
      <c r="T159" s="5"/>
      <c r="U159" s="5"/>
      <c r="V159" s="5"/>
      <c r="W159" s="6"/>
      <c r="X159" s="6"/>
      <c r="Y159" s="5"/>
      <c r="Z159" s="5"/>
      <c r="AA159" s="5"/>
      <c r="AB159" s="6"/>
      <c r="AC159" s="5"/>
    </row>
    <row r="160" spans="1:29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 t="str">
        <f t="shared" si="8"/>
        <v/>
      </c>
      <c r="P160" s="5" t="str">
        <f t="shared" si="9"/>
        <v/>
      </c>
      <c r="Q160" s="5"/>
      <c r="R160" s="5"/>
      <c r="S160" s="5"/>
      <c r="T160" s="5"/>
      <c r="U160" s="5"/>
      <c r="V160" s="5"/>
      <c r="W160" s="6"/>
      <c r="X160" s="6"/>
      <c r="Y160" s="5"/>
      <c r="Z160" s="5"/>
      <c r="AA160" s="5"/>
      <c r="AB160" s="6"/>
      <c r="AC160" s="5"/>
    </row>
    <row r="161" spans="1:29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 t="str">
        <f t="shared" si="8"/>
        <v/>
      </c>
      <c r="P161" s="5" t="str">
        <f t="shared" si="9"/>
        <v/>
      </c>
      <c r="Q161" s="5"/>
      <c r="R161" s="5"/>
      <c r="S161" s="5"/>
      <c r="T161" s="5"/>
      <c r="U161" s="5"/>
      <c r="V161" s="5"/>
      <c r="W161" s="6"/>
      <c r="X161" s="6"/>
      <c r="Y161" s="5"/>
      <c r="Z161" s="5"/>
      <c r="AA161" s="5"/>
      <c r="AB161" s="6"/>
      <c r="AC161" s="5"/>
    </row>
    <row r="162" spans="1:29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 t="str">
        <f t="shared" si="8"/>
        <v/>
      </c>
      <c r="P162" s="5" t="str">
        <f t="shared" si="9"/>
        <v/>
      </c>
      <c r="Q162" s="5"/>
      <c r="R162" s="5"/>
      <c r="S162" s="5"/>
      <c r="T162" s="5"/>
      <c r="U162" s="5"/>
      <c r="V162" s="5"/>
      <c r="W162" s="6"/>
      <c r="X162" s="6"/>
      <c r="Y162" s="5"/>
      <c r="Z162" s="5"/>
      <c r="AA162" s="5"/>
      <c r="AB162" s="6"/>
      <c r="AC162" s="5"/>
    </row>
    <row r="163" spans="1:29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 t="str">
        <f t="shared" si="8"/>
        <v/>
      </c>
      <c r="P163" s="5" t="str">
        <f t="shared" si="9"/>
        <v/>
      </c>
      <c r="Q163" s="5"/>
      <c r="R163" s="5"/>
      <c r="S163" s="5"/>
      <c r="T163" s="5"/>
      <c r="U163" s="5"/>
      <c r="V163" s="5"/>
      <c r="W163" s="6"/>
      <c r="X163" s="6"/>
      <c r="Y163" s="5"/>
      <c r="Z163" s="5"/>
      <c r="AA163" s="5"/>
      <c r="AB163" s="6"/>
      <c r="AC163" s="5"/>
    </row>
    <row r="164" spans="1:29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 t="str">
        <f t="shared" si="8"/>
        <v/>
      </c>
      <c r="P164" s="5" t="str">
        <f t="shared" si="9"/>
        <v/>
      </c>
      <c r="Q164" s="5"/>
      <c r="R164" s="5"/>
      <c r="S164" s="5"/>
      <c r="T164" s="5"/>
      <c r="U164" s="5"/>
      <c r="V164" s="5"/>
      <c r="W164" s="6"/>
      <c r="X164" s="6"/>
      <c r="Y164" s="5"/>
      <c r="Z164" s="5"/>
      <c r="AA164" s="5"/>
      <c r="AB164" s="6"/>
      <c r="AC164" s="5"/>
    </row>
    <row r="165" spans="1:29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 t="str">
        <f t="shared" si="8"/>
        <v/>
      </c>
      <c r="P165" s="5" t="str">
        <f t="shared" si="9"/>
        <v/>
      </c>
      <c r="Q165" s="5"/>
      <c r="R165" s="5"/>
      <c r="S165" s="5"/>
      <c r="T165" s="5"/>
      <c r="U165" s="5"/>
      <c r="V165" s="5"/>
      <c r="W165" s="6"/>
      <c r="X165" s="6"/>
      <c r="Y165" s="5"/>
      <c r="Z165" s="5"/>
      <c r="AA165" s="5"/>
      <c r="AB165" s="6"/>
      <c r="AC165" s="5"/>
    </row>
    <row r="166" spans="1:29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 t="str">
        <f t="shared" si="8"/>
        <v/>
      </c>
      <c r="P166" s="5" t="str">
        <f t="shared" si="9"/>
        <v/>
      </c>
      <c r="Q166" s="5"/>
      <c r="R166" s="5"/>
      <c r="S166" s="5"/>
      <c r="T166" s="5"/>
      <c r="U166" s="5"/>
      <c r="V166" s="5"/>
      <c r="W166" s="6"/>
      <c r="X166" s="6"/>
      <c r="Y166" s="5"/>
      <c r="Z166" s="5"/>
      <c r="AA166" s="5"/>
      <c r="AB166" s="6"/>
      <c r="AC166" s="5"/>
    </row>
    <row r="167" spans="1:29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 t="str">
        <f t="shared" si="8"/>
        <v/>
      </c>
      <c r="P167" s="5" t="str">
        <f t="shared" si="9"/>
        <v/>
      </c>
      <c r="Q167" s="5"/>
      <c r="R167" s="5"/>
      <c r="S167" s="5"/>
      <c r="T167" s="5"/>
      <c r="U167" s="5"/>
      <c r="V167" s="5"/>
      <c r="W167" s="6"/>
      <c r="X167" s="6"/>
      <c r="Y167" s="5"/>
      <c r="Z167" s="5"/>
      <c r="AA167" s="5"/>
      <c r="AB167" s="6"/>
      <c r="AC167" s="5"/>
    </row>
    <row r="168" spans="1:29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 t="str">
        <f t="shared" si="8"/>
        <v/>
      </c>
      <c r="P168" s="5" t="str">
        <f t="shared" si="9"/>
        <v/>
      </c>
      <c r="Q168" s="5"/>
      <c r="R168" s="5"/>
      <c r="S168" s="5"/>
      <c r="T168" s="5"/>
      <c r="U168" s="5"/>
      <c r="V168" s="5"/>
      <c r="W168" s="6"/>
      <c r="X168" s="6"/>
      <c r="Y168" s="5"/>
      <c r="Z168" s="5"/>
      <c r="AA168" s="5"/>
      <c r="AB168" s="6"/>
      <c r="AC168" s="5"/>
    </row>
    <row r="169" spans="1:29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 t="str">
        <f t="shared" si="8"/>
        <v/>
      </c>
      <c r="P169" s="5" t="str">
        <f t="shared" si="9"/>
        <v/>
      </c>
      <c r="Q169" s="5"/>
      <c r="R169" s="5"/>
      <c r="S169" s="5"/>
      <c r="T169" s="5"/>
      <c r="U169" s="5"/>
      <c r="V169" s="5"/>
      <c r="W169" s="6"/>
      <c r="X169" s="6"/>
      <c r="Y169" s="5"/>
      <c r="Z169" s="5"/>
      <c r="AA169" s="5"/>
      <c r="AB169" s="6"/>
      <c r="AC169" s="5"/>
    </row>
    <row r="170" spans="1:29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 t="str">
        <f t="shared" si="8"/>
        <v/>
      </c>
      <c r="P170" s="5" t="str">
        <f t="shared" si="9"/>
        <v/>
      </c>
      <c r="Q170" s="5"/>
      <c r="R170" s="5"/>
      <c r="S170" s="5"/>
      <c r="T170" s="5"/>
      <c r="U170" s="5"/>
      <c r="V170" s="5"/>
      <c r="W170" s="6"/>
      <c r="X170" s="6"/>
      <c r="Y170" s="5"/>
      <c r="Z170" s="5"/>
      <c r="AA170" s="5"/>
      <c r="AB170" s="6"/>
      <c r="AC170" s="5"/>
    </row>
    <row r="171" spans="1:29">
      <c r="A171" s="5"/>
      <c r="B171" s="6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 t="str">
        <f t="shared" si="8"/>
        <v/>
      </c>
      <c r="P171" s="5" t="str">
        <f t="shared" si="9"/>
        <v/>
      </c>
      <c r="Q171" s="5"/>
      <c r="R171" s="5"/>
      <c r="S171" s="5"/>
      <c r="T171" s="5"/>
      <c r="U171" s="5"/>
      <c r="V171" s="5"/>
      <c r="W171" s="6"/>
      <c r="X171" s="6"/>
      <c r="Y171" s="5"/>
      <c r="Z171" s="5"/>
      <c r="AA171" s="5"/>
      <c r="AB171" s="6"/>
      <c r="AC171" s="5"/>
    </row>
    <row r="172" spans="1:29">
      <c r="A172" s="5"/>
      <c r="B172" s="6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 t="str">
        <f t="shared" si="8"/>
        <v/>
      </c>
      <c r="P172" s="5" t="str">
        <f t="shared" si="9"/>
        <v/>
      </c>
      <c r="Q172" s="5"/>
      <c r="R172" s="5"/>
      <c r="S172" s="5"/>
      <c r="T172" s="5"/>
      <c r="U172" s="5"/>
      <c r="V172" s="5"/>
      <c r="W172" s="6"/>
      <c r="X172" s="6"/>
      <c r="Y172" s="5"/>
      <c r="Z172" s="5"/>
      <c r="AA172" s="5"/>
      <c r="AB172" s="6"/>
      <c r="AC172" s="5"/>
    </row>
    <row r="173" spans="1:29">
      <c r="A173" s="5"/>
      <c r="B173" s="6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 t="str">
        <f t="shared" si="8"/>
        <v/>
      </c>
      <c r="P173" s="5" t="str">
        <f t="shared" si="9"/>
        <v/>
      </c>
      <c r="Q173" s="5"/>
      <c r="R173" s="5"/>
      <c r="S173" s="5"/>
      <c r="T173" s="5"/>
      <c r="U173" s="5"/>
      <c r="V173" s="5"/>
      <c r="W173" s="6"/>
      <c r="X173" s="6"/>
      <c r="Y173" s="5"/>
      <c r="Z173" s="5"/>
      <c r="AA173" s="5"/>
      <c r="AB173" s="6"/>
      <c r="AC173" s="5"/>
    </row>
    <row r="174" spans="1:29">
      <c r="A174" s="5"/>
      <c r="B174" s="6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 t="str">
        <f t="shared" si="8"/>
        <v/>
      </c>
      <c r="P174" s="5" t="str">
        <f t="shared" si="9"/>
        <v/>
      </c>
      <c r="Q174" s="5"/>
      <c r="R174" s="5"/>
      <c r="S174" s="5"/>
      <c r="T174" s="5"/>
      <c r="U174" s="5"/>
      <c r="V174" s="5"/>
      <c r="W174" s="6"/>
      <c r="X174" s="6"/>
      <c r="Y174" s="5"/>
      <c r="Z174" s="5"/>
      <c r="AA174" s="5"/>
      <c r="AB174" s="6"/>
      <c r="AC174" s="5"/>
    </row>
    <row r="175" spans="1:29">
      <c r="A175" s="5"/>
      <c r="B175" s="6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 t="str">
        <f t="shared" ref="O175:O206" si="10">IF(OR(M175="",N175=""),"",M175*N175)</f>
        <v/>
      </c>
      <c r="P175" s="5" t="str">
        <f t="shared" ref="P175:P206" si="11">IF(O175="","",IF(O175&lt;=4,"Bajo",IF(O175&lt;=9,"Medio",IF(O175&lt;=16,"Alto","Crítico"))))</f>
        <v/>
      </c>
      <c r="Q175" s="5"/>
      <c r="R175" s="5"/>
      <c r="S175" s="5"/>
      <c r="T175" s="5"/>
      <c r="U175" s="5"/>
      <c r="V175" s="5"/>
      <c r="W175" s="6"/>
      <c r="X175" s="6"/>
      <c r="Y175" s="5"/>
      <c r="Z175" s="5"/>
      <c r="AA175" s="5"/>
      <c r="AB175" s="6"/>
      <c r="AC175" s="5"/>
    </row>
    <row r="176" spans="1:29">
      <c r="A176" s="5"/>
      <c r="B176" s="6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 t="str">
        <f t="shared" si="10"/>
        <v/>
      </c>
      <c r="P176" s="5" t="str">
        <f t="shared" si="11"/>
        <v/>
      </c>
      <c r="Q176" s="5"/>
      <c r="R176" s="5"/>
      <c r="S176" s="5"/>
      <c r="T176" s="5"/>
      <c r="U176" s="5"/>
      <c r="V176" s="5"/>
      <c r="W176" s="6"/>
      <c r="X176" s="6"/>
      <c r="Y176" s="5"/>
      <c r="Z176" s="5"/>
      <c r="AA176" s="5"/>
      <c r="AB176" s="6"/>
      <c r="AC176" s="5"/>
    </row>
    <row r="177" spans="1:29">
      <c r="A177" s="5"/>
      <c r="B177" s="6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 t="str">
        <f t="shared" si="10"/>
        <v/>
      </c>
      <c r="P177" s="5" t="str">
        <f t="shared" si="11"/>
        <v/>
      </c>
      <c r="Q177" s="5"/>
      <c r="R177" s="5"/>
      <c r="S177" s="5"/>
      <c r="T177" s="5"/>
      <c r="U177" s="5"/>
      <c r="V177" s="5"/>
      <c r="W177" s="6"/>
      <c r="X177" s="6"/>
      <c r="Y177" s="5"/>
      <c r="Z177" s="5"/>
      <c r="AA177" s="5"/>
      <c r="AB177" s="6"/>
      <c r="AC177" s="5"/>
    </row>
    <row r="178" spans="1:29">
      <c r="A178" s="5"/>
      <c r="B178" s="6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 t="str">
        <f t="shared" si="10"/>
        <v/>
      </c>
      <c r="P178" s="5" t="str">
        <f t="shared" si="11"/>
        <v/>
      </c>
      <c r="Q178" s="5"/>
      <c r="R178" s="5"/>
      <c r="S178" s="5"/>
      <c r="T178" s="5"/>
      <c r="U178" s="5"/>
      <c r="V178" s="5"/>
      <c r="W178" s="6"/>
      <c r="X178" s="6"/>
      <c r="Y178" s="5"/>
      <c r="Z178" s="5"/>
      <c r="AA178" s="5"/>
      <c r="AB178" s="6"/>
      <c r="AC178" s="5"/>
    </row>
    <row r="179" spans="1:29">
      <c r="A179" s="5"/>
      <c r="B179" s="6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 t="str">
        <f t="shared" si="10"/>
        <v/>
      </c>
      <c r="P179" s="5" t="str">
        <f t="shared" si="11"/>
        <v/>
      </c>
      <c r="Q179" s="5"/>
      <c r="R179" s="5"/>
      <c r="S179" s="5"/>
      <c r="T179" s="5"/>
      <c r="U179" s="5"/>
      <c r="V179" s="5"/>
      <c r="W179" s="6"/>
      <c r="X179" s="6"/>
      <c r="Y179" s="5"/>
      <c r="Z179" s="5"/>
      <c r="AA179" s="5"/>
      <c r="AB179" s="6"/>
      <c r="AC179" s="5"/>
    </row>
    <row r="180" spans="1:29">
      <c r="A180" s="5"/>
      <c r="B180" s="6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 t="str">
        <f t="shared" si="10"/>
        <v/>
      </c>
      <c r="P180" s="5" t="str">
        <f t="shared" si="11"/>
        <v/>
      </c>
      <c r="Q180" s="5"/>
      <c r="R180" s="5"/>
      <c r="S180" s="5"/>
      <c r="T180" s="5"/>
      <c r="U180" s="5"/>
      <c r="V180" s="5"/>
      <c r="W180" s="6"/>
      <c r="X180" s="6"/>
      <c r="Y180" s="5"/>
      <c r="Z180" s="5"/>
      <c r="AA180" s="5"/>
      <c r="AB180" s="6"/>
      <c r="AC180" s="5"/>
    </row>
    <row r="181" spans="1:29">
      <c r="A181" s="5"/>
      <c r="B181" s="6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 t="str">
        <f t="shared" si="10"/>
        <v/>
      </c>
      <c r="P181" s="5" t="str">
        <f t="shared" si="11"/>
        <v/>
      </c>
      <c r="Q181" s="5"/>
      <c r="R181" s="5"/>
      <c r="S181" s="5"/>
      <c r="T181" s="5"/>
      <c r="U181" s="5"/>
      <c r="V181" s="5"/>
      <c r="W181" s="6"/>
      <c r="X181" s="6"/>
      <c r="Y181" s="5"/>
      <c r="Z181" s="5"/>
      <c r="AA181" s="5"/>
      <c r="AB181" s="6"/>
      <c r="AC181" s="5"/>
    </row>
    <row r="182" spans="1:29">
      <c r="A182" s="5"/>
      <c r="B182" s="6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 t="str">
        <f t="shared" si="10"/>
        <v/>
      </c>
      <c r="P182" s="5" t="str">
        <f t="shared" si="11"/>
        <v/>
      </c>
      <c r="Q182" s="5"/>
      <c r="R182" s="5"/>
      <c r="S182" s="5"/>
      <c r="T182" s="5"/>
      <c r="U182" s="5"/>
      <c r="V182" s="5"/>
      <c r="W182" s="6"/>
      <c r="X182" s="6"/>
      <c r="Y182" s="5"/>
      <c r="Z182" s="5"/>
      <c r="AA182" s="5"/>
      <c r="AB182" s="6"/>
      <c r="AC182" s="5"/>
    </row>
    <row r="183" spans="1:29">
      <c r="A183" s="5"/>
      <c r="B183" s="6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 t="str">
        <f t="shared" si="10"/>
        <v/>
      </c>
      <c r="P183" s="5" t="str">
        <f t="shared" si="11"/>
        <v/>
      </c>
      <c r="Q183" s="5"/>
      <c r="R183" s="5"/>
      <c r="S183" s="5"/>
      <c r="T183" s="5"/>
      <c r="U183" s="5"/>
      <c r="V183" s="5"/>
      <c r="W183" s="6"/>
      <c r="X183" s="6"/>
      <c r="Y183" s="5"/>
      <c r="Z183" s="5"/>
      <c r="AA183" s="5"/>
      <c r="AB183" s="6"/>
      <c r="AC183" s="5"/>
    </row>
    <row r="184" spans="1:29">
      <c r="A184" s="5"/>
      <c r="B184" s="6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 t="str">
        <f t="shared" si="10"/>
        <v/>
      </c>
      <c r="P184" s="5" t="str">
        <f t="shared" si="11"/>
        <v/>
      </c>
      <c r="Q184" s="5"/>
      <c r="R184" s="5"/>
      <c r="S184" s="5"/>
      <c r="T184" s="5"/>
      <c r="U184" s="5"/>
      <c r="V184" s="5"/>
      <c r="W184" s="6"/>
      <c r="X184" s="6"/>
      <c r="Y184" s="5"/>
      <c r="Z184" s="5"/>
      <c r="AA184" s="5"/>
      <c r="AB184" s="6"/>
      <c r="AC184" s="5"/>
    </row>
    <row r="185" spans="1:29">
      <c r="A185" s="5"/>
      <c r="B185" s="6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 t="str">
        <f t="shared" si="10"/>
        <v/>
      </c>
      <c r="P185" s="5" t="str">
        <f t="shared" si="11"/>
        <v/>
      </c>
      <c r="Q185" s="5"/>
      <c r="R185" s="5"/>
      <c r="S185" s="5"/>
      <c r="T185" s="5"/>
      <c r="U185" s="5"/>
      <c r="V185" s="5"/>
      <c r="W185" s="6"/>
      <c r="X185" s="6"/>
      <c r="Y185" s="5"/>
      <c r="Z185" s="5"/>
      <c r="AA185" s="5"/>
      <c r="AB185" s="6"/>
      <c r="AC185" s="5"/>
    </row>
    <row r="186" spans="1:29">
      <c r="A186" s="5"/>
      <c r="B186" s="6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 t="str">
        <f t="shared" si="10"/>
        <v/>
      </c>
      <c r="P186" s="5" t="str">
        <f t="shared" si="11"/>
        <v/>
      </c>
      <c r="Q186" s="5"/>
      <c r="R186" s="5"/>
      <c r="S186" s="5"/>
      <c r="T186" s="5"/>
      <c r="U186" s="5"/>
      <c r="V186" s="5"/>
      <c r="W186" s="6"/>
      <c r="X186" s="6"/>
      <c r="Y186" s="5"/>
      <c r="Z186" s="5"/>
      <c r="AA186" s="5"/>
      <c r="AB186" s="6"/>
      <c r="AC186" s="5"/>
    </row>
    <row r="187" spans="1:29">
      <c r="A187" s="5"/>
      <c r="B187" s="6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 t="str">
        <f t="shared" si="10"/>
        <v/>
      </c>
      <c r="P187" s="5" t="str">
        <f t="shared" si="11"/>
        <v/>
      </c>
      <c r="Q187" s="5"/>
      <c r="R187" s="5"/>
      <c r="S187" s="5"/>
      <c r="T187" s="5"/>
      <c r="U187" s="5"/>
      <c r="V187" s="5"/>
      <c r="W187" s="6"/>
      <c r="X187" s="6"/>
      <c r="Y187" s="5"/>
      <c r="Z187" s="5"/>
      <c r="AA187" s="5"/>
      <c r="AB187" s="6"/>
      <c r="AC187" s="5"/>
    </row>
    <row r="188" spans="1:29">
      <c r="A188" s="5"/>
      <c r="B188" s="6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 t="str">
        <f t="shared" si="10"/>
        <v/>
      </c>
      <c r="P188" s="5" t="str">
        <f t="shared" si="11"/>
        <v/>
      </c>
      <c r="Q188" s="5"/>
      <c r="R188" s="5"/>
      <c r="S188" s="5"/>
      <c r="T188" s="5"/>
      <c r="U188" s="5"/>
      <c r="V188" s="5"/>
      <c r="W188" s="6"/>
      <c r="X188" s="6"/>
      <c r="Y188" s="5"/>
      <c r="Z188" s="5"/>
      <c r="AA188" s="5"/>
      <c r="AB188" s="6"/>
      <c r="AC188" s="5"/>
    </row>
    <row r="189" spans="1:29">
      <c r="A189" s="5"/>
      <c r="B189" s="6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 t="str">
        <f t="shared" si="10"/>
        <v/>
      </c>
      <c r="P189" s="5" t="str">
        <f t="shared" si="11"/>
        <v/>
      </c>
      <c r="Q189" s="5"/>
      <c r="R189" s="5"/>
      <c r="S189" s="5"/>
      <c r="T189" s="5"/>
      <c r="U189" s="5"/>
      <c r="V189" s="5"/>
      <c r="W189" s="6"/>
      <c r="X189" s="6"/>
      <c r="Y189" s="5"/>
      <c r="Z189" s="5"/>
      <c r="AA189" s="5"/>
      <c r="AB189" s="6"/>
      <c r="AC189" s="5"/>
    </row>
    <row r="190" spans="1:29">
      <c r="A190" s="5"/>
      <c r="B190" s="6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 t="str">
        <f t="shared" si="10"/>
        <v/>
      </c>
      <c r="P190" s="5" t="str">
        <f t="shared" si="11"/>
        <v/>
      </c>
      <c r="Q190" s="5"/>
      <c r="R190" s="5"/>
      <c r="S190" s="5"/>
      <c r="T190" s="5"/>
      <c r="U190" s="5"/>
      <c r="V190" s="5"/>
      <c r="W190" s="6"/>
      <c r="X190" s="6"/>
      <c r="Y190" s="5"/>
      <c r="Z190" s="5"/>
      <c r="AA190" s="5"/>
      <c r="AB190" s="6"/>
      <c r="AC190" s="5"/>
    </row>
    <row r="191" spans="1:29">
      <c r="A191" s="5"/>
      <c r="B191" s="6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 t="str">
        <f t="shared" si="10"/>
        <v/>
      </c>
      <c r="P191" s="5" t="str">
        <f t="shared" si="11"/>
        <v/>
      </c>
      <c r="Q191" s="5"/>
      <c r="R191" s="5"/>
      <c r="S191" s="5"/>
      <c r="T191" s="5"/>
      <c r="U191" s="5"/>
      <c r="V191" s="5"/>
      <c r="W191" s="6"/>
      <c r="X191" s="6"/>
      <c r="Y191" s="5"/>
      <c r="Z191" s="5"/>
      <c r="AA191" s="5"/>
      <c r="AB191" s="6"/>
      <c r="AC191" s="5"/>
    </row>
    <row r="192" spans="1:29">
      <c r="A192" s="5"/>
      <c r="B192" s="6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 t="str">
        <f t="shared" si="10"/>
        <v/>
      </c>
      <c r="P192" s="5" t="str">
        <f t="shared" si="11"/>
        <v/>
      </c>
      <c r="Q192" s="5"/>
      <c r="R192" s="5"/>
      <c r="S192" s="5"/>
      <c r="T192" s="5"/>
      <c r="U192" s="5"/>
      <c r="V192" s="5"/>
      <c r="W192" s="6"/>
      <c r="X192" s="6"/>
      <c r="Y192" s="5"/>
      <c r="Z192" s="5"/>
      <c r="AA192" s="5"/>
      <c r="AB192" s="6"/>
      <c r="AC192" s="5"/>
    </row>
    <row r="193" spans="1:29">
      <c r="A193" s="5"/>
      <c r="B193" s="6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 t="str">
        <f t="shared" si="10"/>
        <v/>
      </c>
      <c r="P193" s="5" t="str">
        <f t="shared" si="11"/>
        <v/>
      </c>
      <c r="Q193" s="5"/>
      <c r="R193" s="5"/>
      <c r="S193" s="5"/>
      <c r="T193" s="5"/>
      <c r="U193" s="5"/>
      <c r="V193" s="5"/>
      <c r="W193" s="6"/>
      <c r="X193" s="6"/>
      <c r="Y193" s="5"/>
      <c r="Z193" s="5"/>
      <c r="AA193" s="5"/>
      <c r="AB193" s="6"/>
      <c r="AC193" s="5"/>
    </row>
    <row r="194" spans="1:29">
      <c r="A194" s="5"/>
      <c r="B194" s="6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 t="str">
        <f t="shared" si="10"/>
        <v/>
      </c>
      <c r="P194" s="5" t="str">
        <f t="shared" si="11"/>
        <v/>
      </c>
      <c r="Q194" s="5"/>
      <c r="R194" s="5"/>
      <c r="S194" s="5"/>
      <c r="T194" s="5"/>
      <c r="U194" s="5"/>
      <c r="V194" s="5"/>
      <c r="W194" s="6"/>
      <c r="X194" s="6"/>
      <c r="Y194" s="5"/>
      <c r="Z194" s="5"/>
      <c r="AA194" s="5"/>
      <c r="AB194" s="6"/>
      <c r="AC194" s="5"/>
    </row>
    <row r="195" spans="1:29">
      <c r="A195" s="5"/>
      <c r="B195" s="6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 t="str">
        <f t="shared" si="10"/>
        <v/>
      </c>
      <c r="P195" s="5" t="str">
        <f t="shared" si="11"/>
        <v/>
      </c>
      <c r="Q195" s="5"/>
      <c r="R195" s="5"/>
      <c r="S195" s="5"/>
      <c r="T195" s="5"/>
      <c r="U195" s="5"/>
      <c r="V195" s="5"/>
      <c r="W195" s="6"/>
      <c r="X195" s="6"/>
      <c r="Y195" s="5"/>
      <c r="Z195" s="5"/>
      <c r="AA195" s="5"/>
      <c r="AB195" s="6"/>
      <c r="AC195" s="5"/>
    </row>
    <row r="196" spans="1:29">
      <c r="A196" s="5"/>
      <c r="B196" s="6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 t="str">
        <f t="shared" si="10"/>
        <v/>
      </c>
      <c r="P196" s="5" t="str">
        <f t="shared" si="11"/>
        <v/>
      </c>
      <c r="Q196" s="5"/>
      <c r="R196" s="5"/>
      <c r="S196" s="5"/>
      <c r="T196" s="5"/>
      <c r="U196" s="5"/>
      <c r="V196" s="5"/>
      <c r="W196" s="6"/>
      <c r="X196" s="6"/>
      <c r="Y196" s="5"/>
      <c r="Z196" s="5"/>
      <c r="AA196" s="5"/>
      <c r="AB196" s="6"/>
      <c r="AC196" s="5"/>
    </row>
    <row r="197" spans="1:29">
      <c r="A197" s="5"/>
      <c r="B197" s="6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 t="str">
        <f t="shared" si="10"/>
        <v/>
      </c>
      <c r="P197" s="5" t="str">
        <f t="shared" si="11"/>
        <v/>
      </c>
      <c r="Q197" s="5"/>
      <c r="R197" s="5"/>
      <c r="S197" s="5"/>
      <c r="T197" s="5"/>
      <c r="U197" s="5"/>
      <c r="V197" s="5"/>
      <c r="W197" s="6"/>
      <c r="X197" s="6"/>
      <c r="Y197" s="5"/>
      <c r="Z197" s="5"/>
      <c r="AA197" s="5"/>
      <c r="AB197" s="6"/>
      <c r="AC197" s="5"/>
    </row>
    <row r="198" spans="1:29">
      <c r="A198" s="5"/>
      <c r="B198" s="6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 t="str">
        <f t="shared" si="10"/>
        <v/>
      </c>
      <c r="P198" s="5" t="str">
        <f t="shared" si="11"/>
        <v/>
      </c>
      <c r="Q198" s="5"/>
      <c r="R198" s="5"/>
      <c r="S198" s="5"/>
      <c r="T198" s="5"/>
      <c r="U198" s="5"/>
      <c r="V198" s="5"/>
      <c r="W198" s="6"/>
      <c r="X198" s="6"/>
      <c r="Y198" s="5"/>
      <c r="Z198" s="5"/>
      <c r="AA198" s="5"/>
      <c r="AB198" s="6"/>
      <c r="AC198" s="5"/>
    </row>
    <row r="199" spans="1:29">
      <c r="A199" s="5"/>
      <c r="B199" s="6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 t="str">
        <f t="shared" si="10"/>
        <v/>
      </c>
      <c r="P199" s="5" t="str">
        <f t="shared" si="11"/>
        <v/>
      </c>
      <c r="Q199" s="5"/>
      <c r="R199" s="5"/>
      <c r="S199" s="5"/>
      <c r="T199" s="5"/>
      <c r="U199" s="5"/>
      <c r="V199" s="5"/>
      <c r="W199" s="6"/>
      <c r="X199" s="6"/>
      <c r="Y199" s="5"/>
      <c r="Z199" s="5"/>
      <c r="AA199" s="5"/>
      <c r="AB199" s="6"/>
      <c r="AC199" s="5"/>
    </row>
    <row r="200" spans="1:29">
      <c r="A200" s="5"/>
      <c r="B200" s="6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 t="str">
        <f t="shared" si="10"/>
        <v/>
      </c>
      <c r="P200" s="5" t="str">
        <f t="shared" si="11"/>
        <v/>
      </c>
      <c r="Q200" s="5"/>
      <c r="R200" s="5"/>
      <c r="S200" s="5"/>
      <c r="T200" s="5"/>
      <c r="U200" s="5"/>
      <c r="V200" s="5"/>
      <c r="W200" s="6"/>
      <c r="X200" s="6"/>
      <c r="Y200" s="5"/>
      <c r="Z200" s="5"/>
      <c r="AA200" s="5"/>
      <c r="AB200" s="6"/>
      <c r="AC200" s="5"/>
    </row>
    <row r="201" spans="1:29">
      <c r="A201" s="5"/>
      <c r="B201" s="6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 t="str">
        <f t="shared" si="10"/>
        <v/>
      </c>
      <c r="P201" s="5" t="str">
        <f t="shared" si="11"/>
        <v/>
      </c>
      <c r="Q201" s="5"/>
      <c r="R201" s="5"/>
      <c r="S201" s="5"/>
      <c r="T201" s="5"/>
      <c r="U201" s="5"/>
      <c r="V201" s="5"/>
      <c r="W201" s="6"/>
      <c r="X201" s="6"/>
      <c r="Y201" s="5"/>
      <c r="Z201" s="5"/>
      <c r="AA201" s="5"/>
      <c r="AB201" s="6"/>
      <c r="AC201" s="5"/>
    </row>
    <row r="202" spans="1:29">
      <c r="A202" s="5"/>
      <c r="B202" s="6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 t="str">
        <f t="shared" si="10"/>
        <v/>
      </c>
      <c r="P202" s="5" t="str">
        <f t="shared" si="11"/>
        <v/>
      </c>
      <c r="Q202" s="5"/>
      <c r="R202" s="5"/>
      <c r="S202" s="5"/>
      <c r="T202" s="5"/>
      <c r="U202" s="5"/>
      <c r="V202" s="5"/>
      <c r="W202" s="6"/>
      <c r="X202" s="6"/>
      <c r="Y202" s="5"/>
      <c r="Z202" s="5"/>
      <c r="AA202" s="5"/>
      <c r="AB202" s="6"/>
      <c r="AC202" s="5"/>
    </row>
    <row r="203" spans="1:29">
      <c r="A203" s="5"/>
      <c r="B203" s="6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 t="str">
        <f t="shared" si="10"/>
        <v/>
      </c>
      <c r="P203" s="5" t="str">
        <f t="shared" si="11"/>
        <v/>
      </c>
      <c r="Q203" s="5"/>
      <c r="R203" s="5"/>
      <c r="S203" s="5"/>
      <c r="T203" s="5"/>
      <c r="U203" s="5"/>
      <c r="V203" s="5"/>
      <c r="W203" s="6"/>
      <c r="X203" s="6"/>
      <c r="Y203" s="5"/>
      <c r="Z203" s="5"/>
      <c r="AA203" s="5"/>
      <c r="AB203" s="6"/>
      <c r="AC203" s="5"/>
    </row>
    <row r="204" spans="1:29">
      <c r="A204" s="5"/>
      <c r="B204" s="6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 t="str">
        <f t="shared" si="10"/>
        <v/>
      </c>
      <c r="P204" s="5" t="str">
        <f t="shared" si="11"/>
        <v/>
      </c>
      <c r="Q204" s="5"/>
      <c r="R204" s="5"/>
      <c r="S204" s="5"/>
      <c r="T204" s="5"/>
      <c r="U204" s="5"/>
      <c r="V204" s="5"/>
      <c r="W204" s="6"/>
      <c r="X204" s="6"/>
      <c r="Y204" s="5"/>
      <c r="Z204" s="5"/>
      <c r="AA204" s="5"/>
      <c r="AB204" s="6"/>
      <c r="AC204" s="5"/>
    </row>
    <row r="205" spans="1:29">
      <c r="A205" s="5"/>
      <c r="B205" s="6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 t="str">
        <f t="shared" si="10"/>
        <v/>
      </c>
      <c r="P205" s="5" t="str">
        <f t="shared" si="11"/>
        <v/>
      </c>
      <c r="Q205" s="5"/>
      <c r="R205" s="5"/>
      <c r="S205" s="5"/>
      <c r="T205" s="5"/>
      <c r="U205" s="5"/>
      <c r="V205" s="5"/>
      <c r="W205" s="6"/>
      <c r="X205" s="6"/>
      <c r="Y205" s="5"/>
      <c r="Z205" s="5"/>
      <c r="AA205" s="5"/>
      <c r="AB205" s="6"/>
      <c r="AC205" s="5"/>
    </row>
    <row r="206" spans="1:29">
      <c r="A206" s="5"/>
      <c r="B206" s="6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 t="str">
        <f t="shared" si="10"/>
        <v/>
      </c>
      <c r="P206" s="5" t="str">
        <f t="shared" si="11"/>
        <v/>
      </c>
      <c r="Q206" s="5"/>
      <c r="R206" s="5"/>
      <c r="S206" s="5"/>
      <c r="T206" s="5"/>
      <c r="U206" s="5"/>
      <c r="V206" s="5"/>
      <c r="W206" s="6"/>
      <c r="X206" s="6"/>
      <c r="Y206" s="5"/>
      <c r="Z206" s="5"/>
      <c r="AA206" s="5"/>
      <c r="AB206" s="6"/>
      <c r="AC206" s="5"/>
    </row>
    <row r="207" spans="1:29">
      <c r="A207" s="5"/>
      <c r="B207" s="6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 t="str">
        <f t="shared" ref="O207:O238" si="12">IF(OR(M207="",N207=""),"",M207*N207)</f>
        <v/>
      </c>
      <c r="P207" s="5" t="str">
        <f t="shared" ref="P207:P238" si="13">IF(O207="","",IF(O207&lt;=4,"Bajo",IF(O207&lt;=9,"Medio",IF(O207&lt;=16,"Alto","Crítico"))))</f>
        <v/>
      </c>
      <c r="Q207" s="5"/>
      <c r="R207" s="5"/>
      <c r="S207" s="5"/>
      <c r="T207" s="5"/>
      <c r="U207" s="5"/>
      <c r="V207" s="5"/>
      <c r="W207" s="6"/>
      <c r="X207" s="6"/>
      <c r="Y207" s="5"/>
      <c r="Z207" s="5"/>
      <c r="AA207" s="5"/>
      <c r="AB207" s="6"/>
      <c r="AC207" s="5"/>
    </row>
    <row r="208" spans="1:29">
      <c r="A208" s="5"/>
      <c r="B208" s="6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 t="str">
        <f t="shared" si="12"/>
        <v/>
      </c>
      <c r="P208" s="5" t="str">
        <f t="shared" si="13"/>
        <v/>
      </c>
      <c r="Q208" s="5"/>
      <c r="R208" s="5"/>
      <c r="S208" s="5"/>
      <c r="T208" s="5"/>
      <c r="U208" s="5"/>
      <c r="V208" s="5"/>
      <c r="W208" s="6"/>
      <c r="X208" s="6"/>
      <c r="Y208" s="5"/>
      <c r="Z208" s="5"/>
      <c r="AA208" s="5"/>
      <c r="AB208" s="6"/>
      <c r="AC208" s="5"/>
    </row>
    <row r="209" spans="1:29">
      <c r="A209" s="5"/>
      <c r="B209" s="6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 t="str">
        <f t="shared" si="12"/>
        <v/>
      </c>
      <c r="P209" s="5" t="str">
        <f t="shared" si="13"/>
        <v/>
      </c>
      <c r="Q209" s="5"/>
      <c r="R209" s="5"/>
      <c r="S209" s="5"/>
      <c r="T209" s="5"/>
      <c r="U209" s="5"/>
      <c r="V209" s="5"/>
      <c r="W209" s="6"/>
      <c r="X209" s="6"/>
      <c r="Y209" s="5"/>
      <c r="Z209" s="5"/>
      <c r="AA209" s="5"/>
      <c r="AB209" s="6"/>
      <c r="AC209" s="5"/>
    </row>
    <row r="210" spans="1:29">
      <c r="A210" s="5"/>
      <c r="B210" s="6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 t="str">
        <f t="shared" si="12"/>
        <v/>
      </c>
      <c r="P210" s="5" t="str">
        <f t="shared" si="13"/>
        <v/>
      </c>
      <c r="Q210" s="5"/>
      <c r="R210" s="5"/>
      <c r="S210" s="5"/>
      <c r="T210" s="5"/>
      <c r="U210" s="5"/>
      <c r="V210" s="5"/>
      <c r="W210" s="6"/>
      <c r="X210" s="6"/>
      <c r="Y210" s="5"/>
      <c r="Z210" s="5"/>
      <c r="AA210" s="5"/>
      <c r="AB210" s="6"/>
      <c r="AC210" s="5"/>
    </row>
    <row r="211" spans="1:29">
      <c r="A211" s="5"/>
      <c r="B211" s="6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 t="str">
        <f t="shared" si="12"/>
        <v/>
      </c>
      <c r="P211" s="5" t="str">
        <f t="shared" si="13"/>
        <v/>
      </c>
      <c r="Q211" s="5"/>
      <c r="R211" s="5"/>
      <c r="S211" s="5"/>
      <c r="T211" s="5"/>
      <c r="U211" s="5"/>
      <c r="V211" s="5"/>
      <c r="W211" s="6"/>
      <c r="X211" s="6"/>
      <c r="Y211" s="5"/>
      <c r="Z211" s="5"/>
      <c r="AA211" s="5"/>
      <c r="AB211" s="6"/>
      <c r="AC211" s="5"/>
    </row>
    <row r="212" spans="1:29">
      <c r="A212" s="5"/>
      <c r="B212" s="6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 t="str">
        <f t="shared" si="12"/>
        <v/>
      </c>
      <c r="P212" s="5" t="str">
        <f t="shared" si="13"/>
        <v/>
      </c>
      <c r="Q212" s="5"/>
      <c r="R212" s="5"/>
      <c r="S212" s="5"/>
      <c r="T212" s="5"/>
      <c r="U212" s="5"/>
      <c r="V212" s="5"/>
      <c r="W212" s="6"/>
      <c r="X212" s="6"/>
      <c r="Y212" s="5"/>
      <c r="Z212" s="5"/>
      <c r="AA212" s="5"/>
      <c r="AB212" s="6"/>
      <c r="AC212" s="5"/>
    </row>
    <row r="213" spans="1:29">
      <c r="A213" s="5"/>
      <c r="B213" s="6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 t="str">
        <f t="shared" si="12"/>
        <v/>
      </c>
      <c r="P213" s="5" t="str">
        <f t="shared" si="13"/>
        <v/>
      </c>
      <c r="Q213" s="5"/>
      <c r="R213" s="5"/>
      <c r="S213" s="5"/>
      <c r="T213" s="5"/>
      <c r="U213" s="5"/>
      <c r="V213" s="5"/>
      <c r="W213" s="6"/>
      <c r="X213" s="6"/>
      <c r="Y213" s="5"/>
      <c r="Z213" s="5"/>
      <c r="AA213" s="5"/>
      <c r="AB213" s="6"/>
      <c r="AC213" s="5"/>
    </row>
    <row r="214" spans="1:29">
      <c r="A214" s="5"/>
      <c r="B214" s="6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 t="str">
        <f t="shared" si="12"/>
        <v/>
      </c>
      <c r="P214" s="5" t="str">
        <f t="shared" si="13"/>
        <v/>
      </c>
      <c r="Q214" s="5"/>
      <c r="R214" s="5"/>
      <c r="S214" s="5"/>
      <c r="T214" s="5"/>
      <c r="U214" s="5"/>
      <c r="V214" s="5"/>
      <c r="W214" s="6"/>
      <c r="X214" s="6"/>
      <c r="Y214" s="5"/>
      <c r="Z214" s="5"/>
      <c r="AA214" s="5"/>
      <c r="AB214" s="6"/>
      <c r="AC214" s="5"/>
    </row>
  </sheetData>
  <mergeCells count="4">
    <mergeCell ref="A2:AC3"/>
    <mergeCell ref="A4:AC4"/>
    <mergeCell ref="A6:AC6"/>
    <mergeCell ref="A11:AC11"/>
  </mergeCells>
  <conditionalFormatting sqref="P15:P214">
    <cfRule type="containsText" dxfId="2" priority="1" operator="containsText" text="Crítico"/>
    <cfRule type="containsText" dxfId="1" priority="2" operator="containsText" text="Alto"/>
  </conditionalFormatting>
  <conditionalFormatting sqref="U15:U214">
    <cfRule type="containsText" dxfId="0" priority="3" operator="containsText" text="Cerrado"/>
  </conditionalFormatting>
  <dataValidations count="2">
    <dataValidation type="whole" sqref="M15:N214" xr:uid="{00000000-0002-0000-0100-000000000000}">
      <formula1>1</formula1>
      <formula2>5</formula2>
    </dataValidation>
    <dataValidation type="whole" sqref="Q15:Q214" xr:uid="{00000000-0002-0000-0100-000001000000}">
      <formula1>0</formula1>
      <formula2>1000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xr:uid="{00000000-0002-0000-0100-000002000000}">
          <x14:formula1>
            <xm:f>Catálogos!$A$2:$A$9</xm:f>
          </x14:formula1>
          <xm:sqref>D15:D214</xm:sqref>
        </x14:dataValidation>
        <x14:dataValidation type="list" xr:uid="{00000000-0002-0000-0100-000003000000}">
          <x14:formula1>
            <xm:f>Catálogos!$B$2:$B$5</xm:f>
          </x14:formula1>
          <xm:sqref>H15:H214</xm:sqref>
        </x14:dataValidation>
        <x14:dataValidation type="list" xr:uid="{00000000-0002-0000-0100-000004000000}">
          <x14:formula1>
            <xm:f>Catálogos!$C$2:$C$5</xm:f>
          </x14:formula1>
          <xm:sqref>I15:L214</xm:sqref>
        </x14:dataValidation>
        <x14:dataValidation type="list" xr:uid="{00000000-0002-0000-0100-000005000000}">
          <x14:formula1>
            <xm:f>Catálogos!$H$2:$H$8</xm:f>
          </x14:formula1>
          <xm:sqref>R15:S214 V15:V214</xm:sqref>
        </x14:dataValidation>
        <x14:dataValidation type="list" xr:uid="{00000000-0002-0000-0100-000006000000}">
          <x14:formula1>
            <xm:f>Catálogos!$D$2:$D$5</xm:f>
          </x14:formula1>
          <xm:sqref>T15:T214</xm:sqref>
        </x14:dataValidation>
        <x14:dataValidation type="list" xr:uid="{00000000-0002-0000-0100-000007000000}">
          <x14:formula1>
            <xm:f>Catálogos!$E$2:$E$12</xm:f>
          </x14:formula1>
          <xm:sqref>U15:U214</xm:sqref>
        </x14:dataValidation>
        <x14:dataValidation type="list" xr:uid="{00000000-0002-0000-0100-000009000000}">
          <x14:formula1>
            <xm:f>Catálogos!$F$2:$F$6</xm:f>
          </x14:formula1>
          <xm:sqref>Y15:Y214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92351"/>
  </sheetPr>
  <dimension ref="B2:J44"/>
  <sheetViews>
    <sheetView showGridLines="0" tabSelected="1" workbookViewId="0">
      <pane ySplit="4" topLeftCell="A18" activePane="bottomLeft" state="frozen"/>
      <selection pane="bottomLeft" activeCell="L20" sqref="L20"/>
    </sheetView>
  </sheetViews>
  <sheetFormatPr baseColWidth="10" defaultColWidth="8.796875" defaultRowHeight="13.8"/>
  <cols>
    <col min="2" max="2" width="28" customWidth="1"/>
    <col min="3" max="5" width="13" customWidth="1"/>
    <col min="6" max="6" width="23" customWidth="1"/>
    <col min="7" max="10" width="13" customWidth="1"/>
  </cols>
  <sheetData>
    <row r="2" spans="2:10" ht="31.95" customHeight="1">
      <c r="B2" s="8" t="s">
        <v>115</v>
      </c>
      <c r="C2" s="9"/>
      <c r="D2" s="9"/>
      <c r="E2" s="9"/>
      <c r="F2" s="9"/>
      <c r="G2" s="9"/>
      <c r="H2" s="9"/>
      <c r="I2" s="9"/>
      <c r="J2" s="9"/>
    </row>
    <row r="3" spans="2:10" ht="31.95" customHeight="1">
      <c r="B3" s="9"/>
      <c r="C3" s="9"/>
      <c r="D3" s="9"/>
      <c r="E3" s="9"/>
      <c r="F3" s="9"/>
      <c r="G3" s="9"/>
      <c r="H3" s="9"/>
      <c r="I3" s="9"/>
      <c r="J3" s="9"/>
    </row>
    <row r="4" spans="2:10" ht="14.4">
      <c r="B4" s="10" t="s">
        <v>116</v>
      </c>
      <c r="C4" s="10"/>
      <c r="D4" s="10"/>
      <c r="E4" s="10"/>
      <c r="F4" s="10"/>
      <c r="G4" s="10"/>
      <c r="H4" s="10"/>
      <c r="I4" s="10"/>
      <c r="J4" s="10"/>
    </row>
    <row r="5" spans="2:10">
      <c r="B5" s="1"/>
      <c r="C5" s="1"/>
      <c r="D5" s="1"/>
      <c r="E5" s="1"/>
      <c r="F5" s="1"/>
      <c r="G5" s="1"/>
      <c r="H5" s="1"/>
      <c r="I5" s="1"/>
      <c r="J5" s="1"/>
    </row>
    <row r="6" spans="2:10" ht="24" customHeight="1">
      <c r="B6" s="11" t="s">
        <v>117</v>
      </c>
      <c r="C6" s="9"/>
      <c r="D6" s="9"/>
      <c r="E6" s="9"/>
      <c r="F6" s="9"/>
      <c r="G6" s="9"/>
      <c r="H6" s="9"/>
      <c r="I6" s="9"/>
      <c r="J6" s="9"/>
    </row>
    <row r="7" spans="2:10">
      <c r="B7" s="3" t="s">
        <v>88</v>
      </c>
      <c r="C7" s="14"/>
      <c r="D7" s="14"/>
      <c r="E7" s="14"/>
      <c r="F7" s="3" t="s">
        <v>89</v>
      </c>
      <c r="G7" s="15"/>
      <c r="H7" s="15"/>
      <c r="I7" s="15"/>
      <c r="J7" s="15"/>
    </row>
    <row r="8" spans="2:10">
      <c r="B8" s="3" t="s">
        <v>11</v>
      </c>
      <c r="C8" s="14"/>
      <c r="D8" s="14"/>
      <c r="E8" s="14"/>
      <c r="F8" s="3" t="s">
        <v>90</v>
      </c>
      <c r="G8" s="14"/>
      <c r="H8" s="14"/>
      <c r="I8" s="14"/>
      <c r="J8" s="14"/>
    </row>
    <row r="9" spans="2:10">
      <c r="B9" s="3" t="s">
        <v>91</v>
      </c>
      <c r="C9" s="14"/>
      <c r="D9" s="14"/>
      <c r="E9" s="14"/>
      <c r="F9" s="14"/>
      <c r="G9" s="14"/>
      <c r="H9" s="14"/>
      <c r="I9" s="14"/>
      <c r="J9" s="14"/>
    </row>
    <row r="10" spans="2:10">
      <c r="B10" s="3" t="s">
        <v>92</v>
      </c>
      <c r="C10" s="14"/>
      <c r="D10" s="14"/>
      <c r="E10" s="14"/>
      <c r="F10" s="14"/>
      <c r="G10" s="14"/>
      <c r="H10" s="14"/>
      <c r="I10" s="14"/>
      <c r="J10" s="14"/>
    </row>
    <row r="11" spans="2:10">
      <c r="B11" s="1"/>
      <c r="C11" s="14"/>
      <c r="D11" s="14"/>
      <c r="E11" s="14"/>
      <c r="F11" s="14"/>
      <c r="G11" s="14"/>
      <c r="H11" s="14"/>
      <c r="I11" s="14"/>
      <c r="J11" s="14"/>
    </row>
    <row r="12" spans="2:10">
      <c r="B12" s="1"/>
      <c r="C12" s="14"/>
      <c r="D12" s="14"/>
      <c r="E12" s="14"/>
      <c r="F12" s="14"/>
      <c r="G12" s="14"/>
      <c r="H12" s="14"/>
      <c r="I12" s="14"/>
      <c r="J12" s="14"/>
    </row>
    <row r="13" spans="2:10">
      <c r="B13" s="1"/>
      <c r="C13" s="1"/>
      <c r="D13" s="1"/>
      <c r="E13" s="1"/>
      <c r="F13" s="1"/>
      <c r="G13" s="1"/>
      <c r="H13" s="1"/>
      <c r="I13" s="1"/>
      <c r="J13" s="1"/>
    </row>
    <row r="14" spans="2:10" ht="24" customHeight="1">
      <c r="B14" s="11" t="s">
        <v>118</v>
      </c>
      <c r="C14" s="9"/>
      <c r="D14" s="9"/>
      <c r="E14" s="9"/>
      <c r="F14" s="9"/>
      <c r="G14" s="9"/>
      <c r="H14" s="9"/>
      <c r="I14" s="9"/>
      <c r="J14" s="9"/>
    </row>
    <row r="15" spans="2:10">
      <c r="B15" s="3" t="s">
        <v>93</v>
      </c>
      <c r="C15" s="14"/>
      <c r="D15" s="14"/>
      <c r="E15" s="14"/>
      <c r="F15" s="14"/>
      <c r="G15" s="14"/>
      <c r="H15" s="14"/>
      <c r="I15" s="14"/>
      <c r="J15" s="14"/>
    </row>
    <row r="16" spans="2:10">
      <c r="B16" s="3" t="s">
        <v>119</v>
      </c>
      <c r="C16" s="14"/>
      <c r="D16" s="14"/>
      <c r="E16" s="14"/>
      <c r="F16" s="14"/>
      <c r="G16" s="14"/>
      <c r="H16" s="14"/>
      <c r="I16" s="14"/>
      <c r="J16" s="14"/>
    </row>
    <row r="17" spans="2:10">
      <c r="B17" s="3" t="s">
        <v>120</v>
      </c>
      <c r="C17" s="14"/>
      <c r="D17" s="14"/>
      <c r="E17" s="14"/>
      <c r="F17" s="14"/>
      <c r="G17" s="14"/>
      <c r="H17" s="14"/>
      <c r="I17" s="14"/>
      <c r="J17" s="14"/>
    </row>
    <row r="18" spans="2:10">
      <c r="B18" s="3" t="s">
        <v>121</v>
      </c>
      <c r="C18" s="14"/>
      <c r="D18" s="14"/>
      <c r="E18" s="14"/>
      <c r="F18" s="14"/>
      <c r="G18" s="14"/>
      <c r="H18" s="14"/>
      <c r="I18" s="14"/>
      <c r="J18" s="14"/>
    </row>
    <row r="19" spans="2:10">
      <c r="B19" s="3" t="s">
        <v>122</v>
      </c>
      <c r="C19" s="14"/>
      <c r="D19" s="14"/>
      <c r="E19" s="14"/>
      <c r="F19" s="14"/>
      <c r="G19" s="14"/>
      <c r="H19" s="14"/>
      <c r="I19" s="14"/>
      <c r="J19" s="14"/>
    </row>
    <row r="20" spans="2:10" ht="27.6">
      <c r="B20" s="3" t="s">
        <v>123</v>
      </c>
      <c r="C20" s="14"/>
      <c r="D20" s="14"/>
      <c r="E20" s="14"/>
      <c r="F20" s="14"/>
      <c r="G20" s="14"/>
      <c r="H20" s="14"/>
      <c r="I20" s="14"/>
      <c r="J20" s="14"/>
    </row>
    <row r="21" spans="2:10">
      <c r="B21" s="1"/>
      <c r="C21" s="1"/>
      <c r="D21" s="1"/>
      <c r="E21" s="1"/>
      <c r="F21" s="1"/>
      <c r="G21" s="1"/>
      <c r="H21" s="1"/>
      <c r="I21" s="1"/>
      <c r="J21" s="1"/>
    </row>
    <row r="22" spans="2:10">
      <c r="B22" s="3" t="s">
        <v>124</v>
      </c>
      <c r="C22" s="14"/>
      <c r="D22" s="14"/>
      <c r="E22" s="14"/>
      <c r="F22" s="3" t="s">
        <v>125</v>
      </c>
      <c r="G22" s="14"/>
      <c r="H22" s="14"/>
      <c r="I22" s="3" t="s">
        <v>101</v>
      </c>
      <c r="J22" s="5" t="str">
        <f>IF(OR(C22="",G22=""),"",C22*G22)</f>
        <v/>
      </c>
    </row>
    <row r="23" spans="2:10" ht="27.6">
      <c r="B23" s="3" t="s">
        <v>126</v>
      </c>
      <c r="C23" s="14"/>
      <c r="D23" s="14"/>
      <c r="E23" s="14"/>
      <c r="F23" s="14"/>
      <c r="G23" s="14"/>
      <c r="H23" s="14"/>
      <c r="I23" s="14"/>
      <c r="J23" s="14"/>
    </row>
    <row r="24" spans="2:10">
      <c r="B24" s="1"/>
      <c r="C24" s="14"/>
      <c r="D24" s="14"/>
      <c r="E24" s="14"/>
      <c r="F24" s="14"/>
      <c r="G24" s="14"/>
      <c r="H24" s="14"/>
      <c r="I24" s="14"/>
      <c r="J24" s="14"/>
    </row>
    <row r="25" spans="2:10">
      <c r="B25" s="1"/>
      <c r="C25" s="14"/>
      <c r="D25" s="14"/>
      <c r="E25" s="14"/>
      <c r="F25" s="14"/>
      <c r="G25" s="14"/>
      <c r="H25" s="14"/>
      <c r="I25" s="14"/>
      <c r="J25" s="14"/>
    </row>
    <row r="26" spans="2:10">
      <c r="B26" s="1"/>
      <c r="C26" s="1"/>
      <c r="D26" s="1"/>
      <c r="E26" s="1"/>
      <c r="F26" s="1"/>
      <c r="G26" s="1"/>
      <c r="H26" s="1"/>
      <c r="I26" s="1"/>
      <c r="J26" s="1"/>
    </row>
    <row r="27" spans="2:10">
      <c r="B27" s="1"/>
      <c r="C27" s="1"/>
      <c r="D27" s="1"/>
      <c r="E27" s="1"/>
      <c r="F27" s="1"/>
      <c r="G27" s="1"/>
      <c r="H27" s="1"/>
      <c r="I27" s="1"/>
      <c r="J27" s="1"/>
    </row>
    <row r="28" spans="2:10" ht="24" customHeight="1">
      <c r="B28" s="11" t="s">
        <v>127</v>
      </c>
      <c r="C28" s="9"/>
      <c r="D28" s="9"/>
      <c r="E28" s="9"/>
      <c r="F28" s="9"/>
      <c r="G28" s="9"/>
      <c r="H28" s="9"/>
      <c r="I28" s="9"/>
      <c r="J28" s="9"/>
    </row>
    <row r="29" spans="2:10">
      <c r="B29" s="3" t="s">
        <v>104</v>
      </c>
      <c r="C29" s="14"/>
      <c r="D29" s="14"/>
      <c r="E29" s="14"/>
      <c r="F29" s="3" t="s">
        <v>103</v>
      </c>
      <c r="G29" s="14"/>
      <c r="H29" s="14"/>
      <c r="I29" s="14"/>
      <c r="J29" s="14"/>
    </row>
    <row r="30" spans="2:10">
      <c r="B30" s="3" t="s">
        <v>105</v>
      </c>
      <c r="C30" s="14"/>
      <c r="D30" s="14"/>
      <c r="E30" s="14"/>
      <c r="F30" s="3" t="s">
        <v>128</v>
      </c>
      <c r="G30" s="15"/>
      <c r="H30" s="15"/>
      <c r="I30" s="15"/>
      <c r="J30" s="15"/>
    </row>
    <row r="31" spans="2:10">
      <c r="B31" s="3" t="s">
        <v>106</v>
      </c>
      <c r="C31" s="14"/>
      <c r="D31" s="14"/>
      <c r="E31" s="14"/>
      <c r="F31" s="3" t="s">
        <v>108</v>
      </c>
      <c r="G31" s="15"/>
      <c r="H31" s="15"/>
      <c r="I31" s="15"/>
      <c r="J31" s="15"/>
    </row>
    <row r="32" spans="2:10">
      <c r="B32" s="3" t="s">
        <v>107</v>
      </c>
      <c r="C32" s="14"/>
      <c r="D32" s="14"/>
      <c r="E32" s="14"/>
      <c r="F32" s="3" t="s">
        <v>129</v>
      </c>
      <c r="G32" s="14"/>
      <c r="H32" s="14"/>
      <c r="I32" s="14"/>
      <c r="J32" s="14"/>
    </row>
    <row r="33" spans="2:10">
      <c r="B33" s="3" t="s">
        <v>130</v>
      </c>
      <c r="C33" s="14"/>
      <c r="D33" s="14"/>
      <c r="E33" s="14"/>
      <c r="F33" s="14"/>
      <c r="G33" s="14"/>
      <c r="H33" s="14"/>
      <c r="I33" s="14"/>
      <c r="J33" s="14"/>
    </row>
    <row r="34" spans="2:10">
      <c r="B34" s="1"/>
      <c r="C34" s="14"/>
      <c r="D34" s="14"/>
      <c r="E34" s="14"/>
      <c r="F34" s="14"/>
      <c r="G34" s="14"/>
      <c r="H34" s="14"/>
      <c r="I34" s="14"/>
      <c r="J34" s="14"/>
    </row>
    <row r="35" spans="2:10">
      <c r="B35" s="1"/>
      <c r="C35" s="14"/>
      <c r="D35" s="14"/>
      <c r="E35" s="14"/>
      <c r="F35" s="14"/>
      <c r="G35" s="14"/>
      <c r="H35" s="14"/>
      <c r="I35" s="14"/>
      <c r="J35" s="14"/>
    </row>
    <row r="36" spans="2:10">
      <c r="B36" s="1"/>
      <c r="C36" s="1"/>
      <c r="D36" s="1"/>
      <c r="E36" s="1"/>
      <c r="F36" s="1"/>
      <c r="G36" s="1"/>
      <c r="H36" s="1"/>
      <c r="I36" s="1"/>
      <c r="J36" s="1"/>
    </row>
    <row r="37" spans="2:10" ht="24" customHeight="1">
      <c r="B37" s="11" t="s">
        <v>131</v>
      </c>
      <c r="C37" s="9"/>
      <c r="D37" s="9"/>
      <c r="E37" s="9"/>
      <c r="F37" s="9"/>
      <c r="G37" s="9"/>
      <c r="H37" s="9"/>
      <c r="I37" s="9"/>
      <c r="J37" s="9"/>
    </row>
    <row r="38" spans="2:10">
      <c r="B38" s="3" t="s">
        <v>132</v>
      </c>
      <c r="C38" s="14"/>
      <c r="D38" s="14"/>
      <c r="E38" s="14"/>
      <c r="F38" s="14"/>
      <c r="G38" s="14"/>
      <c r="H38" s="14"/>
      <c r="I38" s="14"/>
      <c r="J38" s="14"/>
    </row>
    <row r="39" spans="2:10">
      <c r="B39" s="3" t="s">
        <v>111</v>
      </c>
      <c r="C39" s="14"/>
      <c r="D39" s="14"/>
      <c r="E39" s="14"/>
      <c r="F39" s="14"/>
      <c r="G39" s="14"/>
      <c r="H39" s="14"/>
      <c r="I39" s="14"/>
      <c r="J39" s="14"/>
    </row>
    <row r="40" spans="2:10">
      <c r="B40" s="3" t="s">
        <v>110</v>
      </c>
      <c r="C40" s="14"/>
      <c r="D40" s="14"/>
      <c r="E40" s="14"/>
      <c r="F40" s="14"/>
      <c r="G40" s="14"/>
      <c r="H40" s="14"/>
      <c r="I40" s="14"/>
      <c r="J40" s="14"/>
    </row>
    <row r="41" spans="2:10">
      <c r="B41" s="3" t="s">
        <v>112</v>
      </c>
      <c r="C41" s="14"/>
      <c r="D41" s="14"/>
      <c r="E41" s="14"/>
      <c r="F41" s="14"/>
      <c r="G41" s="14"/>
      <c r="H41" s="14"/>
      <c r="I41" s="14"/>
      <c r="J41" s="14"/>
    </row>
    <row r="42" spans="2:10">
      <c r="B42" s="3" t="s">
        <v>113</v>
      </c>
      <c r="C42" s="15"/>
      <c r="D42" s="15"/>
      <c r="E42" s="15"/>
      <c r="F42" s="15"/>
      <c r="G42" s="15"/>
      <c r="H42" s="15"/>
      <c r="I42" s="15"/>
      <c r="J42" s="15"/>
    </row>
    <row r="43" spans="2:10">
      <c r="B43" s="3" t="s">
        <v>133</v>
      </c>
      <c r="C43" s="14"/>
      <c r="D43" s="14"/>
      <c r="E43" s="14"/>
      <c r="F43" s="14"/>
      <c r="G43" s="14"/>
      <c r="H43" s="14"/>
      <c r="I43" s="14"/>
      <c r="J43" s="14"/>
    </row>
    <row r="44" spans="2:10">
      <c r="B44" s="1"/>
      <c r="C44" s="1"/>
      <c r="D44" s="1"/>
      <c r="E44" s="1"/>
      <c r="F44" s="1"/>
      <c r="G44" s="1"/>
      <c r="H44" s="1"/>
      <c r="I44" s="1"/>
      <c r="J44" s="1"/>
    </row>
  </sheetData>
  <mergeCells count="36">
    <mergeCell ref="C42:J42"/>
    <mergeCell ref="C43:J43"/>
    <mergeCell ref="B37:J37"/>
    <mergeCell ref="C38:J38"/>
    <mergeCell ref="C39:J39"/>
    <mergeCell ref="C40:J40"/>
    <mergeCell ref="C41:J41"/>
    <mergeCell ref="C31:E31"/>
    <mergeCell ref="G31:J31"/>
    <mergeCell ref="C32:E32"/>
    <mergeCell ref="G32:J32"/>
    <mergeCell ref="C33:J35"/>
    <mergeCell ref="B28:J28"/>
    <mergeCell ref="C29:E29"/>
    <mergeCell ref="G29:J29"/>
    <mergeCell ref="C30:E30"/>
    <mergeCell ref="G30:J30"/>
    <mergeCell ref="C20:J20"/>
    <mergeCell ref="C22:E22"/>
    <mergeCell ref="G22:H22"/>
    <mergeCell ref="C23:J25"/>
    <mergeCell ref="C15:J15"/>
    <mergeCell ref="C16:J16"/>
    <mergeCell ref="C17:J17"/>
    <mergeCell ref="C18:J18"/>
    <mergeCell ref="C19:J19"/>
    <mergeCell ref="C8:E8"/>
    <mergeCell ref="G8:J8"/>
    <mergeCell ref="C9:J9"/>
    <mergeCell ref="C10:J12"/>
    <mergeCell ref="B14:J14"/>
    <mergeCell ref="B2:J3"/>
    <mergeCell ref="B4:J4"/>
    <mergeCell ref="B6:J6"/>
    <mergeCell ref="C7:E7"/>
    <mergeCell ref="G7:J7"/>
  </mergeCells>
  <dataValidations count="1">
    <dataValidation type="whole" sqref="C22:E22 G22:H22" xr:uid="{00000000-0002-0000-0200-000002000000}">
      <formula1>1</formula1>
      <formula2>5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200-000000000000}">
          <x14:formula1>
            <xm:f>Catálogos!$A$2:$A$9</xm:f>
          </x14:formula1>
          <xm:sqref>G8:J8</xm:sqref>
        </x14:dataValidation>
        <x14:dataValidation type="list" xr:uid="{00000000-0002-0000-0200-000001000000}">
          <x14:formula1>
            <xm:f>Catálogos!$C$2:$C$5</xm:f>
          </x14:formula1>
          <xm:sqref>C17:J20</xm:sqref>
        </x14:dataValidation>
        <x14:dataValidation type="list" xr:uid="{00000000-0002-0000-0200-000004000000}">
          <x14:formula1>
            <xm:f>Catálogos!$H$2:$H$8</xm:f>
          </x14:formula1>
          <xm:sqref>C29:E30 C32:E32</xm:sqref>
        </x14:dataValidation>
        <x14:dataValidation type="list" xr:uid="{00000000-0002-0000-0200-000005000000}">
          <x14:formula1>
            <xm:f>Catálogos!$D$2:$D$5</xm:f>
          </x14:formula1>
          <xm:sqref>C31:E31</xm:sqref>
        </x14:dataValidation>
        <x14:dataValidation type="list" xr:uid="{00000000-0002-0000-0200-000007000000}">
          <x14:formula1>
            <xm:f>Catálogos!$F$2:$F$6</xm:f>
          </x14:formula1>
          <xm:sqref>C40:J40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9EBF0"/>
  </sheetPr>
  <dimension ref="A1:H12"/>
  <sheetViews>
    <sheetView showGridLines="0" workbookViewId="0">
      <pane ySplit="1" topLeftCell="A2" activePane="bottomLeft" state="frozen"/>
      <selection pane="bottomLeft"/>
    </sheetView>
  </sheetViews>
  <sheetFormatPr baseColWidth="10" defaultColWidth="8.796875" defaultRowHeight="13.8"/>
  <cols>
    <col min="1" max="7" width="24" customWidth="1"/>
    <col min="8" max="8" width="34" customWidth="1"/>
  </cols>
  <sheetData>
    <row r="1" spans="1:8">
      <c r="A1" s="2" t="s">
        <v>90</v>
      </c>
      <c r="B1" s="2" t="s">
        <v>94</v>
      </c>
      <c r="C1" s="2" t="s">
        <v>178</v>
      </c>
      <c r="D1" s="2" t="s">
        <v>106</v>
      </c>
      <c r="E1" s="2" t="s">
        <v>54</v>
      </c>
      <c r="F1" s="2" t="s">
        <v>179</v>
      </c>
      <c r="G1" s="2" t="s">
        <v>180</v>
      </c>
      <c r="H1" s="2" t="s">
        <v>181</v>
      </c>
    </row>
    <row r="2" spans="1:8">
      <c r="A2" s="5" t="s">
        <v>182</v>
      </c>
      <c r="B2" s="5" t="s">
        <v>183</v>
      </c>
      <c r="C2" s="5" t="s">
        <v>166</v>
      </c>
      <c r="D2" s="5" t="s">
        <v>184</v>
      </c>
      <c r="E2" s="5" t="s">
        <v>185</v>
      </c>
      <c r="F2" s="5" t="s">
        <v>186</v>
      </c>
      <c r="G2" s="5" t="s">
        <v>169</v>
      </c>
      <c r="H2" s="5" t="s">
        <v>187</v>
      </c>
    </row>
    <row r="3" spans="1:8">
      <c r="A3" s="5" t="s">
        <v>188</v>
      </c>
      <c r="B3" s="5" t="s">
        <v>189</v>
      </c>
      <c r="C3" s="5" t="s">
        <v>169</v>
      </c>
      <c r="D3" s="5" t="s">
        <v>190</v>
      </c>
      <c r="E3" s="5" t="s">
        <v>14</v>
      </c>
      <c r="F3" s="5" t="s">
        <v>191</v>
      </c>
      <c r="G3" s="5" t="s">
        <v>172</v>
      </c>
      <c r="H3" s="5" t="s">
        <v>192</v>
      </c>
    </row>
    <row r="4" spans="1:8">
      <c r="A4" s="5" t="s">
        <v>193</v>
      </c>
      <c r="B4" s="5" t="s">
        <v>194</v>
      </c>
      <c r="C4" s="5" t="s">
        <v>172</v>
      </c>
      <c r="D4" s="5" t="s">
        <v>195</v>
      </c>
      <c r="E4" s="5" t="s">
        <v>196</v>
      </c>
      <c r="F4" s="5" t="s">
        <v>197</v>
      </c>
      <c r="G4" s="5" t="s">
        <v>175</v>
      </c>
      <c r="H4" s="5" t="s">
        <v>198</v>
      </c>
    </row>
    <row r="5" spans="1:8">
      <c r="A5" s="5" t="s">
        <v>199</v>
      </c>
      <c r="B5" s="5" t="s">
        <v>200</v>
      </c>
      <c r="C5" s="5" t="s">
        <v>175</v>
      </c>
      <c r="D5" s="5" t="s">
        <v>201</v>
      </c>
      <c r="E5" s="5" t="s">
        <v>202</v>
      </c>
      <c r="F5" s="5" t="s">
        <v>203</v>
      </c>
      <c r="G5" s="5" t="s">
        <v>204</v>
      </c>
      <c r="H5" s="5" t="s">
        <v>205</v>
      </c>
    </row>
    <row r="6" spans="1:8">
      <c r="A6" s="5" t="s">
        <v>206</v>
      </c>
      <c r="B6" s="5"/>
      <c r="C6" s="5"/>
      <c r="D6" s="5"/>
      <c r="E6" s="5" t="s">
        <v>207</v>
      </c>
      <c r="F6" s="5" t="s">
        <v>208</v>
      </c>
      <c r="G6" s="5"/>
      <c r="H6" s="5" t="s">
        <v>209</v>
      </c>
    </row>
    <row r="7" spans="1:8">
      <c r="A7" s="5" t="s">
        <v>210</v>
      </c>
      <c r="B7" s="5"/>
      <c r="C7" s="5"/>
      <c r="D7" s="5"/>
      <c r="E7" s="5" t="s">
        <v>32</v>
      </c>
      <c r="F7" s="5"/>
      <c r="G7" s="5"/>
      <c r="H7" s="5" t="s">
        <v>211</v>
      </c>
    </row>
    <row r="8" spans="1:8">
      <c r="A8" s="5" t="s">
        <v>212</v>
      </c>
      <c r="B8" s="5"/>
      <c r="C8" s="5"/>
      <c r="D8" s="5"/>
      <c r="E8" s="5" t="s">
        <v>38</v>
      </c>
      <c r="F8" s="5"/>
      <c r="G8" s="5"/>
      <c r="H8" s="5" t="s">
        <v>213</v>
      </c>
    </row>
    <row r="9" spans="1:8">
      <c r="A9" s="5" t="s">
        <v>214</v>
      </c>
      <c r="B9" s="5"/>
      <c r="C9" s="5"/>
      <c r="D9" s="5"/>
      <c r="E9" s="5" t="s">
        <v>215</v>
      </c>
      <c r="F9" s="5"/>
      <c r="G9" s="5"/>
      <c r="H9" s="5"/>
    </row>
    <row r="10" spans="1:8">
      <c r="A10" s="5"/>
      <c r="B10" s="5"/>
      <c r="C10" s="5"/>
      <c r="D10" s="5"/>
      <c r="E10" s="5" t="s">
        <v>216</v>
      </c>
      <c r="F10" s="5"/>
      <c r="G10" s="5"/>
      <c r="H10" s="5"/>
    </row>
    <row r="11" spans="1:8">
      <c r="A11" s="5"/>
      <c r="B11" s="5"/>
      <c r="C11" s="5"/>
      <c r="D11" s="5"/>
      <c r="E11" s="5" t="s">
        <v>217</v>
      </c>
      <c r="F11" s="5"/>
      <c r="G11" s="5"/>
      <c r="H11" s="5"/>
    </row>
    <row r="12" spans="1:8">
      <c r="A12" s="5"/>
      <c r="B12" s="5"/>
      <c r="C12" s="5"/>
      <c r="D12" s="5"/>
      <c r="E12" s="5" t="s">
        <v>218</v>
      </c>
      <c r="F12" s="5"/>
      <c r="G12" s="5"/>
      <c r="H1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Guía de uso</vt:lpstr>
      <vt:lpstr>Resumen</vt:lpstr>
      <vt:lpstr>Registro de cambios</vt:lpstr>
      <vt:lpstr>Solicitud de cambio</vt:lpstr>
      <vt:lpstr>Catálogos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Mendoza</cp:lastModifiedBy>
  <dcterms:modified xsi:type="dcterms:W3CDTF">2026-09-24T20:24:59Z</dcterms:modified>
</cp:coreProperties>
</file>