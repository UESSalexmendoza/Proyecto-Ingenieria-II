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U Alex\Ingenieria Software 2\Proyecto Ingenieria II\Documentacion\"/>
    </mc:Choice>
  </mc:AlternateContent>
  <xr:revisionPtr revIDLastSave="0" documentId="13_ncr:1_{D741138C-5779-4113-ABE8-0FA16ED3D60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1" r:id="rId1"/>
    <sheet name="Registro de cambios" sheetId="2" r:id="rId2"/>
    <sheet name="Solicitud de cambio" sheetId="3" r:id="rId3"/>
    <sheet name="Catálog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3" l="1"/>
  <c r="R112" i="2"/>
  <c r="S112" i="2" s="1"/>
  <c r="A112" i="2"/>
  <c r="R111" i="2"/>
  <c r="S111" i="2" s="1"/>
  <c r="A111" i="2"/>
  <c r="R110" i="2"/>
  <c r="S110" i="2" s="1"/>
  <c r="A110" i="2"/>
  <c r="R109" i="2"/>
  <c r="S109" i="2" s="1"/>
  <c r="A109" i="2"/>
  <c r="R108" i="2"/>
  <c r="S108" i="2" s="1"/>
  <c r="A108" i="2"/>
  <c r="R107" i="2"/>
  <c r="S107" i="2" s="1"/>
  <c r="A107" i="2"/>
  <c r="R106" i="2"/>
  <c r="S106" i="2" s="1"/>
  <c r="A106" i="2"/>
  <c r="R105" i="2"/>
  <c r="S105" i="2" s="1"/>
  <c r="A105" i="2"/>
  <c r="R104" i="2"/>
  <c r="S104" i="2" s="1"/>
  <c r="A104" i="2"/>
  <c r="R103" i="2"/>
  <c r="S103" i="2" s="1"/>
  <c r="A103" i="2"/>
  <c r="R102" i="2"/>
  <c r="S102" i="2" s="1"/>
  <c r="A102" i="2"/>
  <c r="R101" i="2"/>
  <c r="S101" i="2" s="1"/>
  <c r="A101" i="2"/>
  <c r="R100" i="2"/>
  <c r="S100" i="2" s="1"/>
  <c r="A100" i="2"/>
  <c r="R99" i="2"/>
  <c r="S99" i="2" s="1"/>
  <c r="A99" i="2"/>
  <c r="R98" i="2"/>
  <c r="S98" i="2" s="1"/>
  <c r="A98" i="2"/>
  <c r="R97" i="2"/>
  <c r="S97" i="2" s="1"/>
  <c r="A97" i="2"/>
  <c r="R96" i="2"/>
  <c r="S96" i="2" s="1"/>
  <c r="A96" i="2"/>
  <c r="R95" i="2"/>
  <c r="S95" i="2" s="1"/>
  <c r="A95" i="2"/>
  <c r="R94" i="2"/>
  <c r="S94" i="2" s="1"/>
  <c r="A94" i="2"/>
  <c r="R93" i="2"/>
  <c r="S93" i="2" s="1"/>
  <c r="A93" i="2"/>
  <c r="R92" i="2"/>
  <c r="S92" i="2" s="1"/>
  <c r="A92" i="2"/>
  <c r="R91" i="2"/>
  <c r="S91" i="2" s="1"/>
  <c r="A91" i="2"/>
  <c r="R90" i="2"/>
  <c r="S90" i="2" s="1"/>
  <c r="A90" i="2"/>
  <c r="R89" i="2"/>
  <c r="S89" i="2" s="1"/>
  <c r="A89" i="2"/>
  <c r="R88" i="2"/>
  <c r="S88" i="2" s="1"/>
  <c r="A88" i="2"/>
  <c r="R87" i="2"/>
  <c r="S87" i="2" s="1"/>
  <c r="A87" i="2"/>
  <c r="R86" i="2"/>
  <c r="S86" i="2" s="1"/>
  <c r="A86" i="2"/>
  <c r="R85" i="2"/>
  <c r="S85" i="2" s="1"/>
  <c r="A85" i="2"/>
  <c r="R84" i="2"/>
  <c r="S84" i="2" s="1"/>
  <c r="A84" i="2"/>
  <c r="R83" i="2"/>
  <c r="S83" i="2" s="1"/>
  <c r="A83" i="2"/>
  <c r="R82" i="2"/>
  <c r="S82" i="2" s="1"/>
  <c r="A82" i="2"/>
  <c r="R81" i="2"/>
  <c r="S81" i="2" s="1"/>
  <c r="A81" i="2"/>
  <c r="R80" i="2"/>
  <c r="S80" i="2" s="1"/>
  <c r="A80" i="2"/>
  <c r="R79" i="2"/>
  <c r="S79" i="2" s="1"/>
  <c r="A79" i="2"/>
  <c r="R78" i="2"/>
  <c r="S78" i="2" s="1"/>
  <c r="A78" i="2"/>
  <c r="R77" i="2"/>
  <c r="S77" i="2" s="1"/>
  <c r="A77" i="2"/>
  <c r="R76" i="2"/>
  <c r="S76" i="2" s="1"/>
  <c r="A76" i="2"/>
  <c r="R75" i="2"/>
  <c r="S75" i="2" s="1"/>
  <c r="A75" i="2"/>
  <c r="R74" i="2"/>
  <c r="S74" i="2" s="1"/>
  <c r="A74" i="2"/>
  <c r="R73" i="2"/>
  <c r="S73" i="2" s="1"/>
  <c r="A73" i="2"/>
  <c r="R72" i="2"/>
  <c r="S72" i="2" s="1"/>
  <c r="A72" i="2"/>
  <c r="R71" i="2"/>
  <c r="S71" i="2" s="1"/>
  <c r="A71" i="2"/>
  <c r="R70" i="2"/>
  <c r="S70" i="2" s="1"/>
  <c r="A70" i="2"/>
  <c r="R69" i="2"/>
  <c r="S69" i="2" s="1"/>
  <c r="A69" i="2"/>
  <c r="R68" i="2"/>
  <c r="S68" i="2" s="1"/>
  <c r="A68" i="2"/>
  <c r="R67" i="2"/>
  <c r="S67" i="2" s="1"/>
  <c r="A67" i="2"/>
  <c r="R66" i="2"/>
  <c r="S66" i="2" s="1"/>
  <c r="A66" i="2"/>
  <c r="R65" i="2"/>
  <c r="S65" i="2" s="1"/>
  <c r="A65" i="2"/>
  <c r="R64" i="2"/>
  <c r="S64" i="2" s="1"/>
  <c r="A64" i="2"/>
  <c r="R63" i="2"/>
  <c r="S63" i="2" s="1"/>
  <c r="A63" i="2"/>
  <c r="R62" i="2"/>
  <c r="S62" i="2" s="1"/>
  <c r="A62" i="2"/>
  <c r="R61" i="2"/>
  <c r="S61" i="2" s="1"/>
  <c r="A61" i="2"/>
  <c r="R60" i="2"/>
  <c r="S60" i="2" s="1"/>
  <c r="A60" i="2"/>
  <c r="R59" i="2"/>
  <c r="S59" i="2" s="1"/>
  <c r="A59" i="2"/>
  <c r="R58" i="2"/>
  <c r="S58" i="2" s="1"/>
  <c r="A58" i="2"/>
  <c r="R57" i="2"/>
  <c r="S57" i="2" s="1"/>
  <c r="A57" i="2"/>
  <c r="R56" i="2"/>
  <c r="S56" i="2" s="1"/>
  <c r="A56" i="2"/>
  <c r="R55" i="2"/>
  <c r="S55" i="2" s="1"/>
  <c r="A55" i="2"/>
  <c r="R54" i="2"/>
  <c r="S54" i="2" s="1"/>
  <c r="A54" i="2"/>
  <c r="R53" i="2"/>
  <c r="S53" i="2" s="1"/>
  <c r="A53" i="2"/>
  <c r="R52" i="2"/>
  <c r="S52" i="2" s="1"/>
  <c r="A52" i="2"/>
  <c r="R51" i="2"/>
  <c r="S51" i="2" s="1"/>
  <c r="A51" i="2"/>
  <c r="R50" i="2"/>
  <c r="S50" i="2" s="1"/>
  <c r="A50" i="2"/>
  <c r="R49" i="2"/>
  <c r="S49" i="2" s="1"/>
  <c r="A49" i="2"/>
  <c r="R48" i="2"/>
  <c r="S48" i="2" s="1"/>
  <c r="A48" i="2"/>
  <c r="R47" i="2"/>
  <c r="S47" i="2" s="1"/>
  <c r="A47" i="2"/>
  <c r="R46" i="2"/>
  <c r="S46" i="2" s="1"/>
  <c r="A46" i="2"/>
  <c r="R45" i="2"/>
  <c r="S45" i="2" s="1"/>
  <c r="A45" i="2"/>
  <c r="R44" i="2"/>
  <c r="S44" i="2" s="1"/>
  <c r="A44" i="2"/>
  <c r="R43" i="2"/>
  <c r="S43" i="2" s="1"/>
  <c r="A43" i="2"/>
  <c r="R42" i="2"/>
  <c r="S42" i="2" s="1"/>
  <c r="A42" i="2"/>
  <c r="R41" i="2"/>
  <c r="S41" i="2" s="1"/>
  <c r="A41" i="2"/>
  <c r="R40" i="2"/>
  <c r="S40" i="2" s="1"/>
  <c r="A40" i="2"/>
  <c r="R39" i="2"/>
  <c r="S39" i="2" s="1"/>
  <c r="A39" i="2"/>
  <c r="R38" i="2"/>
  <c r="S38" i="2" s="1"/>
  <c r="A38" i="2"/>
  <c r="R37" i="2"/>
  <c r="S37" i="2" s="1"/>
  <c r="A37" i="2"/>
  <c r="R36" i="2"/>
  <c r="S36" i="2" s="1"/>
  <c r="A36" i="2"/>
  <c r="R35" i="2"/>
  <c r="S35" i="2" s="1"/>
  <c r="A35" i="2"/>
  <c r="R34" i="2"/>
  <c r="S34" i="2" s="1"/>
  <c r="A34" i="2"/>
  <c r="R33" i="2"/>
  <c r="S33" i="2" s="1"/>
  <c r="A33" i="2"/>
  <c r="R32" i="2"/>
  <c r="S32" i="2" s="1"/>
  <c r="A32" i="2"/>
  <c r="R31" i="2"/>
  <c r="S31" i="2" s="1"/>
  <c r="A31" i="2"/>
  <c r="R30" i="2"/>
  <c r="S30" i="2" s="1"/>
  <c r="A30" i="2"/>
  <c r="R29" i="2"/>
  <c r="S29" i="2" s="1"/>
  <c r="A29" i="2"/>
  <c r="R28" i="2"/>
  <c r="S28" i="2" s="1"/>
  <c r="A28" i="2"/>
  <c r="R27" i="2"/>
  <c r="S27" i="2" s="1"/>
  <c r="A27" i="2"/>
  <c r="R26" i="2"/>
  <c r="S26" i="2" s="1"/>
  <c r="A26" i="2"/>
  <c r="R25" i="2"/>
  <c r="S25" i="2" s="1"/>
  <c r="A25" i="2"/>
  <c r="R24" i="2"/>
  <c r="S24" i="2" s="1"/>
  <c r="A24" i="2"/>
  <c r="R23" i="2"/>
  <c r="S23" i="2" s="1"/>
  <c r="A23" i="2"/>
  <c r="R22" i="2"/>
  <c r="S22" i="2" s="1"/>
  <c r="A22" i="2"/>
  <c r="R21" i="2"/>
  <c r="S21" i="2" s="1"/>
  <c r="A21" i="2"/>
  <c r="R20" i="2"/>
  <c r="S20" i="2" s="1"/>
  <c r="A20" i="2"/>
  <c r="R19" i="2"/>
  <c r="S19" i="2" s="1"/>
  <c r="A19" i="2"/>
  <c r="R18" i="2"/>
  <c r="S18" i="2" s="1"/>
  <c r="A18" i="2"/>
  <c r="R17" i="2"/>
  <c r="S17" i="2" s="1"/>
  <c r="A17" i="2"/>
  <c r="R16" i="2"/>
  <c r="S16" i="2" s="1"/>
  <c r="A16" i="2"/>
  <c r="R15" i="2"/>
  <c r="S15" i="2" s="1"/>
  <c r="A15" i="2"/>
  <c r="R14" i="2"/>
  <c r="S14" i="2" s="1"/>
  <c r="A14" i="2"/>
  <c r="R13" i="2"/>
  <c r="S13" i="2" s="1"/>
  <c r="A13" i="2"/>
  <c r="Y8" i="2"/>
  <c r="AC8" i="2" s="1"/>
  <c r="U8" i="2"/>
  <c r="Q8" i="2"/>
  <c r="M8" i="2"/>
  <c r="I8" i="2"/>
  <c r="E8" i="2"/>
  <c r="A8" i="2"/>
  <c r="B14" i="1"/>
  <c r="B13" i="1"/>
  <c r="B12" i="1"/>
  <c r="B11" i="1"/>
  <c r="B10" i="1"/>
  <c r="B9" i="1"/>
  <c r="B8" i="1"/>
  <c r="B7" i="1"/>
  <c r="B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<sst xmlns="http://schemas.openxmlformats.org/spreadsheetml/2006/main" count="380" uniqueCount="229">
  <si>
    <t>BARRIO SOLIDARIO</t>
  </si>
  <si>
    <t>Resumen de gestión de cambios</t>
  </si>
  <si>
    <t>Indicador</t>
  </si>
  <si>
    <t>Resultado</t>
  </si>
  <si>
    <t>Etapa</t>
  </si>
  <si>
    <t>Responsable principal</t>
  </si>
  <si>
    <t>Resultado esperado</t>
  </si>
  <si>
    <t>Identificación del documento</t>
  </si>
  <si>
    <t>Total de solicitudes</t>
  </si>
  <si>
    <t>1. Registro</t>
  </si>
  <si>
    <t>Solicitante</t>
  </si>
  <si>
    <t>Solicitud completa y trazable</t>
  </si>
  <si>
    <t>Código</t>
  </si>
  <si>
    <t>DOC-10</t>
  </si>
  <si>
    <t>En análisis</t>
  </si>
  <si>
    <t>2. Análisis</t>
  </si>
  <si>
    <t>Analista funcional/técnico</t>
  </si>
  <si>
    <t>Impactos, riesgo y esfuerzo estimados</t>
  </si>
  <si>
    <t>Documento</t>
  </si>
  <si>
    <t>Formato de Gestión de Cambios</t>
  </si>
  <si>
    <t>Pendientes de aprobación</t>
  </si>
  <si>
    <t>3. Decisión</t>
  </si>
  <si>
    <t>Product Owner / aprobador</t>
  </si>
  <si>
    <t>Decisión y condiciones documentadas</t>
  </si>
  <si>
    <t>Proyecto</t>
  </si>
  <si>
    <t>Barrio Solidario</t>
  </si>
  <si>
    <t>Aprobadas</t>
  </si>
  <si>
    <t>4. Planificación</t>
  </si>
  <si>
    <t>Scrum Master / equipo</t>
  </si>
  <si>
    <t>Fecha, responsable y versión objetivo</t>
  </si>
  <si>
    <t>Aplicación</t>
  </si>
  <si>
    <t>Software y documentación</t>
  </si>
  <si>
    <t>En implementación</t>
  </si>
  <si>
    <t>5. Implementación</t>
  </si>
  <si>
    <t>Responsable asignado</t>
  </si>
  <si>
    <t>Cambio aplicado y evidencia registrada</t>
  </si>
  <si>
    <t>Versión vigente</t>
  </si>
  <si>
    <t>1.0.0</t>
  </si>
  <si>
    <t>En validación</t>
  </si>
  <si>
    <t>6. Validación</t>
  </si>
  <si>
    <t>Calidad / Product Owner</t>
  </si>
  <si>
    <t>Criterios y pruebas conformes</t>
  </si>
  <si>
    <t>Estado</t>
  </si>
  <si>
    <t>En elaboración</t>
  </si>
  <si>
    <t>Cerradas</t>
  </si>
  <si>
    <t>7. Cierre</t>
  </si>
  <si>
    <t>Aprobador</t>
  </si>
  <si>
    <t>Versión actualizada y lecciones registradas</t>
  </si>
  <si>
    <t>Fecha de creación</t>
  </si>
  <si>
    <t>14/09/2026</t>
  </si>
  <si>
    <t>Rechazadas</t>
  </si>
  <si>
    <t>Propietario</t>
  </si>
  <si>
    <t>Víctor Tello Bravo – Product Owner</t>
  </si>
  <si>
    <t>Vencidas abiertas</t>
  </si>
  <si>
    <t>Consolidación</t>
  </si>
  <si>
    <t>Alex Mendoza Morante – Scrum Master</t>
  </si>
  <si>
    <t>Revisión técnica</t>
  </si>
  <si>
    <t>Kevin Carriel Bonoso – Arquitecto de software</t>
  </si>
  <si>
    <t>Revisión de calidad</t>
  </si>
  <si>
    <t>Luis Rodríguez Barrera – Calidad y seguridad</t>
  </si>
  <si>
    <t>Nivel de acceso</t>
  </si>
  <si>
    <t>Uso académico</t>
  </si>
  <si>
    <t>Control de versiones</t>
  </si>
  <si>
    <t>Versión</t>
  </si>
  <si>
    <t>Fecha</t>
  </si>
  <si>
    <t>Descripción</t>
  </si>
  <si>
    <t>Responsable</t>
  </si>
  <si>
    <t>Revisor</t>
  </si>
  <si>
    <t>Nombre</t>
  </si>
  <si>
    <t>Rol</t>
  </si>
  <si>
    <t>Acción</t>
  </si>
  <si>
    <t>0.1.0</t>
  </si>
  <si>
    <t>Definición del flujo y campos</t>
  </si>
  <si>
    <t>Víctor Tello Bravo</t>
  </si>
  <si>
    <t>Alex Mendoza Morante</t>
  </si>
  <si>
    <t>Completado</t>
  </si>
  <si>
    <t>Product Owner</t>
  </si>
  <si>
    <t>Validación del proceso y decisiones</t>
  </si>
  <si>
    <t>Revisado</t>
  </si>
  <si>
    <t>0.2.0</t>
  </si>
  <si>
    <t>Controles de impacto, riesgo y validación</t>
  </si>
  <si>
    <t>Kevin Carriel Bonoso / Luis Rodríguez Barrera</t>
  </si>
  <si>
    <t>Scrum Master</t>
  </si>
  <si>
    <t>Control, trazabilidad y consolidación</t>
  </si>
  <si>
    <t>0.9.0</t>
  </si>
  <si>
    <t>Revisión integral del formato</t>
  </si>
  <si>
    <t>Equipo del proyecto</t>
  </si>
  <si>
    <t>Kevin Carriel Bonoso</t>
  </si>
  <si>
    <t>Arquitecto de software</t>
  </si>
  <si>
    <t>Análisis técnico y de arquitectura</t>
  </si>
  <si>
    <t>Versión consolidada para Sprint 3</t>
  </si>
  <si>
    <t>Ing. Victoria García Velásquez</t>
  </si>
  <si>
    <t>Luis Rodríguez Barrera</t>
  </si>
  <si>
    <t>Calidad y seguridad</t>
  </si>
  <si>
    <t>Validación, riesgos y evidencias</t>
  </si>
  <si>
    <t>Patrocinadora académica</t>
  </si>
  <si>
    <t>Revisión académica y aprobación</t>
  </si>
  <si>
    <t>Pendiente</t>
  </si>
  <si>
    <t>Registro y seguimiento de solicitudes de cambio</t>
  </si>
  <si>
    <t>Código: DOC-10</t>
  </si>
  <si>
    <t>Versión: 1.0.0</t>
  </si>
  <si>
    <t>Estado: En elaboración</t>
  </si>
  <si>
    <t>Actualización: 14/09/2026</t>
  </si>
  <si>
    <t>Proyecto: Barrio Solidario</t>
  </si>
  <si>
    <t>Uso: Software y documentación</t>
  </si>
  <si>
    <t>Propietario: Víctor Tello Bravo – Product Owner</t>
  </si>
  <si>
    <t>Consolidación: Alex Mendoza Morante – Scrum Master</t>
  </si>
  <si>
    <t>Revisión técnica: Kevin Carriel Bonoso</t>
  </si>
  <si>
    <t>Revisión de calidad: Luis Rodríguez Barrera</t>
  </si>
  <si>
    <t>Aprobación académica: Ing. Victoria García Velásquez</t>
  </si>
  <si>
    <t>CONTROL GENERAL DE CAMBIOS</t>
  </si>
  <si>
    <t>Total</t>
  </si>
  <si>
    <t>Aprobados</t>
  </si>
  <si>
    <t>Cerrados</t>
  </si>
  <si>
    <t>Rechazados</t>
  </si>
  <si>
    <t>Vencidos abiertos</t>
  </si>
  <si>
    <t>Estado del control</t>
  </si>
  <si>
    <t>Flujo recomendado: registrar → analizar impacto y riesgo → decidir → planificar → implementar → validar → cerrar. Los cambios rechazados o cancelados conservan su trazabilidad.</t>
  </si>
  <si>
    <t>Fecha de solicitud</t>
  </si>
  <si>
    <t>Tipo de cambio</t>
  </si>
  <si>
    <t>Origen</t>
  </si>
  <si>
    <t>Título del cambio</t>
  </si>
  <si>
    <t>Descripción y justificación</t>
  </si>
  <si>
    <t>Elemento afectado</t>
  </si>
  <si>
    <t>Versión actual</t>
  </si>
  <si>
    <t>Prioridad</t>
  </si>
  <si>
    <t>Urgencia</t>
  </si>
  <si>
    <t>Impacto alcance</t>
  </si>
  <si>
    <t>Impacto cronograma</t>
  </si>
  <si>
    <t>Impacto costo</t>
  </si>
  <si>
    <t>Impacto calidad</t>
  </si>
  <si>
    <t>Impacto seguridad</t>
  </si>
  <si>
    <t>Probabilidad</t>
  </si>
  <si>
    <t>Impacto del riesgo</t>
  </si>
  <si>
    <t>Exposición</t>
  </si>
  <si>
    <t>Nivel de riesgo</t>
  </si>
  <si>
    <t>Esfuerzo estimado (h)</t>
  </si>
  <si>
    <t>Analista de impacto</t>
  </si>
  <si>
    <t>Decisión</t>
  </si>
  <si>
    <t>Fecha objetivo</t>
  </si>
  <si>
    <t>Fecha implementación</t>
  </si>
  <si>
    <t>Resultado de validación</t>
  </si>
  <si>
    <t>Validador</t>
  </si>
  <si>
    <t>Evidencia / enlace</t>
  </si>
  <si>
    <t>Versión resultante</t>
  </si>
  <si>
    <t>Observaciones</t>
  </si>
  <si>
    <t>Solicitud, evaluación y aprobación de cambio</t>
  </si>
  <si>
    <t>1. IDENTIFICACIÓN DE LA SOLICITUD</t>
  </si>
  <si>
    <t>Código del cambio</t>
  </si>
  <si>
    <t>Título</t>
  </si>
  <si>
    <t>Justificación / beneficio</t>
  </si>
  <si>
    <t>2. ALCANCE Y TRAZABILIDAD</t>
  </si>
  <si>
    <t>Requisito / HU / tarea Jira</t>
  </si>
  <si>
    <t>Archivos, módulos o documentos afectados</t>
  </si>
  <si>
    <t>Criterios de aceptación del cambio</t>
  </si>
  <si>
    <t>3. ANÁLISIS DE IMPACTO Y RIESGO</t>
  </si>
  <si>
    <t>Analista</t>
  </si>
  <si>
    <t>Impacto en alcance</t>
  </si>
  <si>
    <t>Cronograma</t>
  </si>
  <si>
    <t>Costo</t>
  </si>
  <si>
    <t>Calidad</t>
  </si>
  <si>
    <t>Seguridad / privacidad</t>
  </si>
  <si>
    <t>Compatibilidad</t>
  </si>
  <si>
    <t>Probabilidad (1–5)</t>
  </si>
  <si>
    <t>Impacto (1–5)</t>
  </si>
  <si>
    <t>Riesgos y dependencias</t>
  </si>
  <si>
    <t>Plan de reversión / contingencia</t>
  </si>
  <si>
    <t>4. DECISIÓN Y PLANIFICACIÓN</t>
  </si>
  <si>
    <t>Fecha de decisión</t>
  </si>
  <si>
    <t>Versión objetivo</t>
  </si>
  <si>
    <t>Condiciones / motivo de rechazo</t>
  </si>
  <si>
    <t>Plan de implementación y responsable</t>
  </si>
  <si>
    <t>5. IMPLEMENTACIÓN, VALIDACIÓN Y CIERRE</t>
  </si>
  <si>
    <t>Implementador</t>
  </si>
  <si>
    <t>Fecha de implementación</t>
  </si>
  <si>
    <t>Resultado implementado</t>
  </si>
  <si>
    <t>Evidencias y pruebas</t>
  </si>
  <si>
    <t>Fecha de cierre</t>
  </si>
  <si>
    <t>Estado final</t>
  </si>
  <si>
    <t>Observaciones de cierre y lecciones aprendidas</t>
  </si>
  <si>
    <t>Tipo</t>
  </si>
  <si>
    <t>Complejidad</t>
  </si>
  <si>
    <t>Validación</t>
  </si>
  <si>
    <t>Nivel de impacto</t>
  </si>
  <si>
    <t>Probabilidad / Impacto</t>
  </si>
  <si>
    <t>Responsables</t>
  </si>
  <si>
    <t>Roles del flujo</t>
  </si>
  <si>
    <t>Software</t>
  </si>
  <si>
    <t>Requisito</t>
  </si>
  <si>
    <t>Highest</t>
  </si>
  <si>
    <t>Alta</t>
  </si>
  <si>
    <t>Aprobar</t>
  </si>
  <si>
    <t>Registrado</t>
  </si>
  <si>
    <t>Sin impacto</t>
  </si>
  <si>
    <t>Documentación</t>
  </si>
  <si>
    <t>Defecto</t>
  </si>
  <si>
    <t>High</t>
  </si>
  <si>
    <t>Media</t>
  </si>
  <si>
    <t>Aprobar con condiciones</t>
  </si>
  <si>
    <t>Conforme</t>
  </si>
  <si>
    <t>Bajo</t>
  </si>
  <si>
    <t>Configuración</t>
  </si>
  <si>
    <t>Mejora</t>
  </si>
  <si>
    <t>Low</t>
  </si>
  <si>
    <t>Baja</t>
  </si>
  <si>
    <t>Rechazar</t>
  </si>
  <si>
    <t>Pendiente de aprobación</t>
  </si>
  <si>
    <t>Con observaciones</t>
  </si>
  <si>
    <t>Medio</t>
  </si>
  <si>
    <t>Base de datos</t>
  </si>
  <si>
    <t>Riesgo</t>
  </si>
  <si>
    <t>Lowest</t>
  </si>
  <si>
    <t>Devolver para ajuste</t>
  </si>
  <si>
    <t>Aprobado</t>
  </si>
  <si>
    <t>No conforme</t>
  </si>
  <si>
    <t>Alto</t>
  </si>
  <si>
    <t>Mario Luzardo Fierro</t>
  </si>
  <si>
    <t>Interfaz / UX</t>
  </si>
  <si>
    <t>Revisión académica</t>
  </si>
  <si>
    <t>Rechazado</t>
  </si>
  <si>
    <t>No aplica</t>
  </si>
  <si>
    <t>Luis Ramírez Conejo</t>
  </si>
  <si>
    <t>Seguridad</t>
  </si>
  <si>
    <t>Cambio normativo</t>
  </si>
  <si>
    <t>Planificado</t>
  </si>
  <si>
    <t>Infraestructura</t>
  </si>
  <si>
    <t>Decisión técnica</t>
  </si>
  <si>
    <t>Cerrado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</si>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</sst>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212937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4"/>
      <color rgb="FFFFFFFF"/>
      <name val="Arial"/>
    </font>
    <font>
      <sz val="9"/>
      <color rgb="FF212937"/>
      <name val="Arial"/>
    </font>
    <font>
      <b/>
      <sz val="11"/>
      <color rgb="FFFFFFFF"/>
      <name val="Arial"/>
    </font>
    <font>
      <b/>
      <sz val="9"/>
      <color rgb="FF212937"/>
      <name val="Arial"/>
    </font>
    <font>
      <b/>
      <sz val="12"/>
      <color rgb="FF212937"/>
      <name val="Arial"/>
    </font>
    <font>
      <i/>
      <sz val="9"/>
      <color rgb="FF212937"/>
      <name val="Arial"/>
    </font>
    <font>
      <b/>
      <sz val="9"/>
      <color rgb="FFFFFFFF"/>
      <name val="Arial"/>
    </font>
    <font>
      <sz val="11"/>
      <name val="Arial"/>
    </font>
    <font>
      <b/>
      <sz val="10"/>
      <color rgb="FF212937"/>
      <name val="Arial"/>
    </font>
  </fonts>
  <fills count="5">
    <fill>
      <patternFill patternType="none"/>
    </fill>
    <fill>
      <patternFill patternType="gray125"/>
    </fill>
    <fill>
      <patternFill patternType="solid">
        <fgColor rgb="FF2A3966"/>
      </patternFill>
    </fill>
    <fill>
      <patternFill patternType="solid">
        <fgColor rgb="FFE9EBF0"/>
      </patternFill>
    </fill>
    <fill>
      <patternFill patternType="solid">
        <fgColor rgb="FFC92351"/>
      </patternFill>
    </fill>
  </fills>
  <borders count="31">
    <border>
      <left/>
      <right/>
      <top/>
      <bottom/>
      <diagonal/>
    </border>
    <border>
      <left/>
      <right/>
      <top/>
      <bottom style="thin">
        <color rgb="FFE9EBF0"/>
      </bottom>
      <diagonal/>
    </border>
    <border>
      <left/>
      <right/>
      <top style="thin">
        <color rgb="FFE9EBF0"/>
      </top>
      <bottom style="thin">
        <color rgb="FFE9EBF0"/>
      </bottom>
      <diagonal/>
    </border>
    <border>
      <left/>
      <right/>
      <top style="thin">
        <color rgb="FFE9EBF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E9EBF0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E9EBF0"/>
      </right>
      <top/>
      <bottom style="thin">
        <color rgb="FFE9EBF0"/>
      </bottom>
      <diagonal/>
    </border>
    <border>
      <left style="thin">
        <color rgb="FFE9EBF0"/>
      </left>
      <right/>
      <top/>
      <bottom style="thin">
        <color rgb="FFE9EBF0"/>
      </bottom>
      <diagonal/>
    </border>
    <border>
      <left/>
      <right style="thin">
        <color rgb="FFE9EBF0"/>
      </right>
      <top style="thin">
        <color rgb="FFE9EBF0"/>
      </top>
      <bottom style="thin">
        <color rgb="FFE9EBF0"/>
      </bottom>
      <diagonal/>
    </border>
    <border>
      <left style="thin">
        <color rgb="FFE9EBF0"/>
      </left>
      <right/>
      <top style="thin">
        <color rgb="FFE9EBF0"/>
      </top>
      <bottom style="thin">
        <color rgb="FFE9EBF0"/>
      </bottom>
      <diagonal/>
    </border>
    <border>
      <left/>
      <right style="thin">
        <color rgb="FFE9EBF0"/>
      </right>
      <top style="thin">
        <color rgb="FFE9EBF0"/>
      </top>
      <bottom/>
      <diagonal/>
    </border>
    <border>
      <left style="thin">
        <color rgb="FFE9EBF0"/>
      </left>
      <right/>
      <top style="thin">
        <color rgb="FFE9EBF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2" borderId="0" xfId="0" applyFill="1"/>
    <xf numFmtId="0" fontId="0" fillId="4" borderId="0" xfId="0" applyFill="1"/>
    <xf numFmtId="0" fontId="7" fillId="3" borderId="0" xfId="0" applyFont="1" applyFill="1" applyAlignment="1">
      <alignment horizont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14" fontId="5" fillId="0" borderId="19" xfId="0" applyNumberFormat="1" applyFont="1" applyBorder="1" applyAlignment="1">
      <alignment vertical="top" wrapText="1"/>
    </xf>
    <xf numFmtId="0" fontId="11" fillId="0" borderId="0" xfId="0" applyFont="1"/>
    <xf numFmtId="0" fontId="11" fillId="4" borderId="0" xfId="0" applyFont="1" applyFill="1"/>
    <xf numFmtId="0" fontId="11" fillId="0" borderId="0" xfId="0" applyFont="1" applyAlignment="1">
      <alignment vertical="top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3" xfId="0" applyFont="1" applyBorder="1" applyAlignment="1">
      <alignment vertical="top" wrapText="1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0" fillId="0" borderId="0" xfId="0"/>
    <xf numFmtId="0" fontId="2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6" fillId="2" borderId="0" xfId="0" applyFont="1" applyFill="1"/>
    <xf numFmtId="0" fontId="7" fillId="3" borderId="0" xfId="0" applyFont="1" applyFill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0" xfId="0" applyFont="1"/>
    <xf numFmtId="0" fontId="11" fillId="2" borderId="0" xfId="0" applyFont="1" applyFill="1"/>
    <xf numFmtId="0" fontId="1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top"/>
    </xf>
    <xf numFmtId="0" fontId="1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12937"/>
      </font>
      <fill>
        <patternFill patternType="solid">
          <bgColor rgb="FFDCE6F1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Student review [2955] for Universidad Espíritu Santo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RegisterTable" displayName="ChangeRegisterTable" ref="A12:AF112" totalsRowShown="0">
  <autoFilter ref="A12:AF112" xr:uid="{00000000-0009-0000-0100-000001000000}"/>
  <tableColumns count="32">
    <tableColumn id="1" xr3:uid="{00000000-0010-0000-0000-000001000000}" name="Código"/>
    <tableColumn id="2" xr3:uid="{00000000-0010-0000-0000-000002000000}" name="Fecha de solicitud"/>
    <tableColumn id="3" xr3:uid="{00000000-0010-0000-0000-000003000000}" name="Tipo de cambio"/>
    <tableColumn id="4" xr3:uid="{00000000-0010-0000-0000-000004000000}" name="Origen"/>
    <tableColumn id="5" xr3:uid="{00000000-0010-0000-0000-000005000000}" name="Título del cambio"/>
    <tableColumn id="6" xr3:uid="{00000000-0010-0000-0000-000006000000}" name="Descripción y justificación"/>
    <tableColumn id="7" xr3:uid="{00000000-0010-0000-0000-000007000000}" name="Elemento afectado"/>
    <tableColumn id="8" xr3:uid="{00000000-0010-0000-0000-000008000000}" name="Versión actual"/>
    <tableColumn id="9" xr3:uid="{00000000-0010-0000-0000-000009000000}" name="Prioridad"/>
    <tableColumn id="10" xr3:uid="{00000000-0010-0000-0000-00000A000000}" name="Urgencia"/>
    <tableColumn id="11" xr3:uid="{00000000-0010-0000-0000-00000B000000}" name="Impacto alcance"/>
    <tableColumn id="12" xr3:uid="{00000000-0010-0000-0000-00000C000000}" name="Impacto cronograma"/>
    <tableColumn id="13" xr3:uid="{00000000-0010-0000-0000-00000D000000}" name="Impacto costo"/>
    <tableColumn id="14" xr3:uid="{00000000-0010-0000-0000-00000E000000}" name="Impacto calidad"/>
    <tableColumn id="15" xr3:uid="{00000000-0010-0000-0000-00000F000000}" name="Impacto seguridad"/>
    <tableColumn id="16" xr3:uid="{00000000-0010-0000-0000-000010000000}" name="Probabilidad"/>
    <tableColumn id="17" xr3:uid="{00000000-0010-0000-0000-000011000000}" name="Impacto del riesgo"/>
    <tableColumn id="18" xr3:uid="{00000000-0010-0000-0000-000012000000}" name="Exposición"/>
    <tableColumn id="19" xr3:uid="{00000000-0010-0000-0000-000013000000}" name="Nivel de riesgo"/>
    <tableColumn id="20" xr3:uid="{00000000-0010-0000-0000-000014000000}" name="Esfuerzo estimado (h)"/>
    <tableColumn id="21" xr3:uid="{00000000-0010-0000-0000-000015000000}" name="Solicitante"/>
    <tableColumn id="22" xr3:uid="{00000000-0010-0000-0000-000016000000}" name="Analista de impacto"/>
    <tableColumn id="23" xr3:uid="{00000000-0010-0000-0000-000017000000}" name="Aprobador"/>
    <tableColumn id="24" xr3:uid="{00000000-0010-0000-0000-000018000000}" name="Decisión"/>
    <tableColumn id="25" xr3:uid="{00000000-0010-0000-0000-000019000000}" name="Estado"/>
    <tableColumn id="26" xr3:uid="{00000000-0010-0000-0000-00001A000000}" name="Fecha objetivo"/>
    <tableColumn id="27" xr3:uid="{00000000-0010-0000-0000-00001B000000}" name="Fecha implementación"/>
    <tableColumn id="28" xr3:uid="{00000000-0010-0000-0000-00001C000000}" name="Resultado de validación"/>
    <tableColumn id="29" xr3:uid="{00000000-0010-0000-0000-00001D000000}" name="Validador"/>
    <tableColumn id="30" xr3:uid="{00000000-0010-0000-0000-00001E000000}" name="Evidencia / enlace"/>
    <tableColumn id="31" xr3:uid="{00000000-0010-0000-0000-00001F000000}" name="Versión resultante"/>
    <tableColumn id="32" xr3:uid="{00000000-0010-0000-0000-000020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A1:L24"/>
  <sheetViews>
    <sheetView showGridLines="0" workbookViewId="0">
      <selection sqref="A1:A2"/>
    </sheetView>
  </sheetViews>
  <sheetFormatPr baseColWidth="10" defaultColWidth="8.796875" defaultRowHeight="13.8"/>
  <cols>
    <col min="1" max="1" width="26" customWidth="1"/>
    <col min="2" max="2" width="20" customWidth="1"/>
    <col min="3" max="3" width="32" customWidth="1"/>
    <col min="4" max="4" width="24" customWidth="1"/>
    <col min="5" max="5" width="31" customWidth="1"/>
    <col min="6" max="6" width="34" customWidth="1"/>
    <col min="7" max="7" width="3" customWidth="1"/>
    <col min="8" max="8" width="25" customWidth="1"/>
    <col min="9" max="9" width="38" customWidth="1"/>
    <col min="10" max="11" width="17" customWidth="1"/>
    <col min="12" max="12" width="18" customWidth="1"/>
  </cols>
  <sheetData>
    <row r="1" spans="1:12" ht="25.05" customHeight="1">
      <c r="A1" s="78" t="e" vm="1">
        <v>#VALUE!</v>
      </c>
      <c r="B1" s="33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48" customHeight="1">
      <c r="A2" s="78"/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5.0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25.05" customHeight="1">
      <c r="A5" s="19" t="s">
        <v>2</v>
      </c>
      <c r="B5" s="20" t="s">
        <v>3</v>
      </c>
      <c r="D5" s="25" t="s">
        <v>4</v>
      </c>
      <c r="E5" s="25" t="s">
        <v>5</v>
      </c>
      <c r="F5" s="25" t="s">
        <v>6</v>
      </c>
      <c r="H5" s="37" t="s">
        <v>7</v>
      </c>
      <c r="I5" s="37"/>
      <c r="J5" s="37"/>
      <c r="K5" s="37"/>
      <c r="L5" s="37"/>
    </row>
    <row r="6" spans="1:12" ht="25.05" customHeight="1">
      <c r="A6" s="21" t="s">
        <v>8</v>
      </c>
      <c r="B6" s="23">
        <f>COUNTIF('Registro de cambios'!B13:B112,"&lt;&gt;")</f>
        <v>0</v>
      </c>
      <c r="D6" s="10" t="s">
        <v>9</v>
      </c>
      <c r="E6" s="10" t="s">
        <v>10</v>
      </c>
      <c r="F6" s="10" t="s">
        <v>11</v>
      </c>
      <c r="H6" s="27" t="s">
        <v>12</v>
      </c>
      <c r="I6" s="30" t="s">
        <v>13</v>
      </c>
    </row>
    <row r="7" spans="1:12" ht="25.05" customHeight="1">
      <c r="A7" s="21" t="s">
        <v>14</v>
      </c>
      <c r="B7" s="23">
        <f>COUNTIF('Registro de cambios'!Y13:Y112,"En análisis")</f>
        <v>0</v>
      </c>
      <c r="D7" s="11" t="s">
        <v>15</v>
      </c>
      <c r="E7" s="11" t="s">
        <v>16</v>
      </c>
      <c r="F7" s="11" t="s">
        <v>17</v>
      </c>
      <c r="H7" s="28" t="s">
        <v>18</v>
      </c>
      <c r="I7" s="31" t="s">
        <v>19</v>
      </c>
    </row>
    <row r="8" spans="1:12" ht="25.05" customHeight="1">
      <c r="A8" s="21" t="s">
        <v>20</v>
      </c>
      <c r="B8" s="23">
        <f>COUNTIF('Registro de cambios'!Y13:Y112,"Pendiente de aprobación")</f>
        <v>0</v>
      </c>
      <c r="D8" s="11" t="s">
        <v>21</v>
      </c>
      <c r="E8" s="11" t="s">
        <v>22</v>
      </c>
      <c r="F8" s="11" t="s">
        <v>23</v>
      </c>
      <c r="H8" s="28" t="s">
        <v>24</v>
      </c>
      <c r="I8" s="31" t="s">
        <v>25</v>
      </c>
    </row>
    <row r="9" spans="1:12" ht="25.05" customHeight="1">
      <c r="A9" s="21" t="s">
        <v>26</v>
      </c>
      <c r="B9" s="23">
        <f>COUNTIF('Registro de cambios'!Y13:Y112,"Aprobado")</f>
        <v>0</v>
      </c>
      <c r="D9" s="11" t="s">
        <v>27</v>
      </c>
      <c r="E9" s="11" t="s">
        <v>28</v>
      </c>
      <c r="F9" s="11" t="s">
        <v>29</v>
      </c>
      <c r="H9" s="28" t="s">
        <v>30</v>
      </c>
      <c r="I9" s="31" t="s">
        <v>31</v>
      </c>
    </row>
    <row r="10" spans="1:12" ht="25.05" customHeight="1">
      <c r="A10" s="21" t="s">
        <v>32</v>
      </c>
      <c r="B10" s="23">
        <f>COUNTIF('Registro de cambios'!Y13:Y112,"En implementación")</f>
        <v>0</v>
      </c>
      <c r="D10" s="11" t="s">
        <v>33</v>
      </c>
      <c r="E10" s="11" t="s">
        <v>34</v>
      </c>
      <c r="F10" s="11" t="s">
        <v>35</v>
      </c>
      <c r="H10" s="28" t="s">
        <v>36</v>
      </c>
      <c r="I10" s="31" t="s">
        <v>37</v>
      </c>
    </row>
    <row r="11" spans="1:12" ht="25.05" customHeight="1">
      <c r="A11" s="21" t="s">
        <v>38</v>
      </c>
      <c r="B11" s="23">
        <f>COUNTIF('Registro de cambios'!Y13:Y112,"En validación")</f>
        <v>0</v>
      </c>
      <c r="D11" s="11" t="s">
        <v>39</v>
      </c>
      <c r="E11" s="11" t="s">
        <v>40</v>
      </c>
      <c r="F11" s="11" t="s">
        <v>41</v>
      </c>
      <c r="H11" s="28" t="s">
        <v>42</v>
      </c>
      <c r="I11" s="31" t="s">
        <v>43</v>
      </c>
    </row>
    <row r="12" spans="1:12" ht="25.05" customHeight="1">
      <c r="A12" s="21" t="s">
        <v>44</v>
      </c>
      <c r="B12" s="23">
        <f>COUNTIF('Registro de cambios'!Y13:Y112,"Cerrado")</f>
        <v>0</v>
      </c>
      <c r="D12" s="26" t="s">
        <v>45</v>
      </c>
      <c r="E12" s="26" t="s">
        <v>46</v>
      </c>
      <c r="F12" s="26" t="s">
        <v>47</v>
      </c>
      <c r="H12" s="28" t="s">
        <v>48</v>
      </c>
      <c r="I12" s="31" t="s">
        <v>49</v>
      </c>
    </row>
    <row r="13" spans="1:12" ht="25.05" customHeight="1">
      <c r="A13" s="21" t="s">
        <v>50</v>
      </c>
      <c r="B13" s="23">
        <f>COUNTIF('Registro de cambios'!Y13:Y112,"Rechazado")</f>
        <v>0</v>
      </c>
      <c r="H13" s="28" t="s">
        <v>51</v>
      </c>
      <c r="I13" s="31" t="s">
        <v>52</v>
      </c>
    </row>
    <row r="14" spans="1:12" ht="25.05" customHeight="1">
      <c r="A14" s="22" t="s">
        <v>53</v>
      </c>
      <c r="B14" s="24">
        <f ca="1">COUNTIFS('Registro de cambios'!Z13:Z112,"&lt;"&amp;TODAY(),'Registro de cambios'!Z13:Z112,"&lt;&gt;",'Registro de cambios'!Y13:Y112,"&lt;&gt;Cerrado",'Registro de cambios'!Y13:Y112,"&lt;&gt;Cancelado",'Registro de cambios'!Y13:Y112,"&lt;&gt;Rechazado")</f>
        <v>0</v>
      </c>
      <c r="H14" s="28" t="s">
        <v>54</v>
      </c>
      <c r="I14" s="31" t="s">
        <v>55</v>
      </c>
    </row>
    <row r="15" spans="1:12" ht="25.05" customHeight="1">
      <c r="H15" s="28" t="s">
        <v>56</v>
      </c>
      <c r="I15" s="31" t="s">
        <v>57</v>
      </c>
    </row>
    <row r="16" spans="1:12" ht="25.05" customHeight="1">
      <c r="H16" s="28" t="s">
        <v>58</v>
      </c>
      <c r="I16" s="31" t="s">
        <v>59</v>
      </c>
    </row>
    <row r="17" spans="1:12" ht="25.05" customHeight="1">
      <c r="H17" s="29" t="s">
        <v>60</v>
      </c>
      <c r="I17" s="32" t="s">
        <v>61</v>
      </c>
    </row>
    <row r="18" spans="1:12" ht="25.05" customHeight="1">
      <c r="A18" s="37" t="s">
        <v>62</v>
      </c>
      <c r="B18" s="37"/>
      <c r="C18" s="37"/>
      <c r="D18" s="37"/>
      <c r="E18" s="37"/>
      <c r="F18" s="37"/>
    </row>
    <row r="19" spans="1:12" ht="25.05" customHeight="1">
      <c r="A19" s="6" t="s">
        <v>63</v>
      </c>
      <c r="B19" s="6" t="s">
        <v>64</v>
      </c>
      <c r="C19" s="6" t="s">
        <v>65</v>
      </c>
      <c r="D19" s="6" t="s">
        <v>66</v>
      </c>
      <c r="E19" s="6" t="s">
        <v>67</v>
      </c>
      <c r="F19" s="6" t="s">
        <v>42</v>
      </c>
      <c r="H19" s="6" t="s">
        <v>68</v>
      </c>
      <c r="I19" s="6" t="s">
        <v>69</v>
      </c>
      <c r="J19" s="38" t="s">
        <v>70</v>
      </c>
      <c r="K19" s="38" t="s">
        <v>42</v>
      </c>
      <c r="L19" s="6"/>
    </row>
    <row r="20" spans="1:12" ht="25.05" customHeight="1">
      <c r="A20" s="10" t="s">
        <v>71</v>
      </c>
      <c r="B20" s="10" t="s">
        <v>49</v>
      </c>
      <c r="C20" s="10" t="s">
        <v>72</v>
      </c>
      <c r="D20" s="10" t="s">
        <v>73</v>
      </c>
      <c r="E20" s="10" t="s">
        <v>74</v>
      </c>
      <c r="F20" s="10" t="s">
        <v>75</v>
      </c>
      <c r="H20" s="10" t="s">
        <v>73</v>
      </c>
      <c r="I20" s="10" t="s">
        <v>76</v>
      </c>
      <c r="J20" s="39" t="s">
        <v>77</v>
      </c>
      <c r="K20" s="39"/>
      <c r="L20" s="10" t="s">
        <v>78</v>
      </c>
    </row>
    <row r="21" spans="1:12" ht="25.05" customHeight="1">
      <c r="A21" s="11" t="s">
        <v>79</v>
      </c>
      <c r="B21" s="11" t="s">
        <v>49</v>
      </c>
      <c r="C21" s="11" t="s">
        <v>80</v>
      </c>
      <c r="D21" s="11" t="s">
        <v>81</v>
      </c>
      <c r="E21" s="11" t="s">
        <v>73</v>
      </c>
      <c r="F21" s="11" t="s">
        <v>75</v>
      </c>
      <c r="H21" s="11" t="s">
        <v>74</v>
      </c>
      <c r="I21" s="11" t="s">
        <v>82</v>
      </c>
      <c r="J21" s="40" t="s">
        <v>83</v>
      </c>
      <c r="K21" s="40"/>
      <c r="L21" s="11" t="s">
        <v>78</v>
      </c>
    </row>
    <row r="22" spans="1:12" ht="25.05" customHeight="1">
      <c r="A22" s="11" t="s">
        <v>84</v>
      </c>
      <c r="B22" s="11" t="s">
        <v>49</v>
      </c>
      <c r="C22" s="11" t="s">
        <v>85</v>
      </c>
      <c r="D22" s="11" t="s">
        <v>74</v>
      </c>
      <c r="E22" s="11" t="s">
        <v>86</v>
      </c>
      <c r="F22" s="11" t="s">
        <v>78</v>
      </c>
      <c r="H22" s="11" t="s">
        <v>87</v>
      </c>
      <c r="I22" s="11" t="s">
        <v>88</v>
      </c>
      <c r="J22" s="40" t="s">
        <v>89</v>
      </c>
      <c r="K22" s="40"/>
      <c r="L22" s="11" t="s">
        <v>78</v>
      </c>
    </row>
    <row r="23" spans="1:12" ht="25.05" customHeight="1">
      <c r="A23" s="26" t="s">
        <v>37</v>
      </c>
      <c r="B23" s="26" t="s">
        <v>49</v>
      </c>
      <c r="C23" s="26" t="s">
        <v>90</v>
      </c>
      <c r="D23" s="26" t="s">
        <v>74</v>
      </c>
      <c r="E23" s="26" t="s">
        <v>91</v>
      </c>
      <c r="F23" s="26" t="s">
        <v>43</v>
      </c>
      <c r="H23" s="11" t="s">
        <v>92</v>
      </c>
      <c r="I23" s="11" t="s">
        <v>93</v>
      </c>
      <c r="J23" s="40" t="s">
        <v>94</v>
      </c>
      <c r="K23" s="40"/>
      <c r="L23" s="11" t="s">
        <v>78</v>
      </c>
    </row>
    <row r="24" spans="1:12" ht="25.05" customHeight="1">
      <c r="H24" s="26" t="s">
        <v>91</v>
      </c>
      <c r="I24" s="26" t="s">
        <v>95</v>
      </c>
      <c r="J24" s="41" t="s">
        <v>96</v>
      </c>
      <c r="K24" s="41"/>
      <c r="L24" s="26" t="s">
        <v>97</v>
      </c>
    </row>
  </sheetData>
  <mergeCells count="11">
    <mergeCell ref="J20:K20"/>
    <mergeCell ref="J21:K21"/>
    <mergeCell ref="J22:K22"/>
    <mergeCell ref="J23:K23"/>
    <mergeCell ref="J24:K24"/>
    <mergeCell ref="B1:L1"/>
    <mergeCell ref="B2:L2"/>
    <mergeCell ref="H5:L5"/>
    <mergeCell ref="A18:F18"/>
    <mergeCell ref="J19:K19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1:AF112"/>
  <sheetViews>
    <sheetView showGridLines="0" tabSelected="1" workbookViewId="0">
      <pane xSplit="5" ySplit="12" topLeftCell="F13" activePane="bottomRight" state="frozen"/>
      <selection pane="topRight"/>
      <selection pane="bottomLeft"/>
      <selection pane="bottomRight" activeCell="B1" sqref="B1"/>
    </sheetView>
  </sheetViews>
  <sheetFormatPr baseColWidth="10" defaultColWidth="8.796875" defaultRowHeight="13.8"/>
  <cols>
    <col min="1" max="1" width="16.09765625" customWidth="1"/>
    <col min="2" max="2" width="14" customWidth="1"/>
    <col min="3" max="4" width="18" customWidth="1"/>
    <col min="5" max="5" width="28" customWidth="1"/>
    <col min="6" max="6" width="39" customWidth="1"/>
    <col min="7" max="7" width="29" customWidth="1"/>
    <col min="8" max="8" width="14" customWidth="1"/>
    <col min="9" max="10" width="12" customWidth="1"/>
    <col min="11" max="11" width="15" customWidth="1"/>
    <col min="12" max="12" width="16" customWidth="1"/>
    <col min="13" max="14" width="14" customWidth="1"/>
    <col min="15" max="15" width="15" customWidth="1"/>
    <col min="16" max="16" width="12" customWidth="1"/>
    <col min="17" max="17" width="13" customWidth="1"/>
    <col min="18" max="19" width="12" customWidth="1"/>
    <col min="20" max="20" width="17" customWidth="1"/>
    <col min="21" max="23" width="23" customWidth="1"/>
    <col min="24" max="25" width="21" customWidth="1"/>
    <col min="26" max="26" width="14" customWidth="1"/>
    <col min="27" max="27" width="16" customWidth="1"/>
    <col min="28" max="28" width="20" customWidth="1"/>
    <col min="29" max="29" width="23" customWidth="1"/>
    <col min="30" max="30" width="31" customWidth="1"/>
    <col min="31" max="31" width="16" customWidth="1"/>
    <col min="32" max="32" width="28" customWidth="1"/>
  </cols>
  <sheetData>
    <row r="1" spans="1:32" ht="25.05" customHeight="1">
      <c r="A1" s="78" t="e" vm="1">
        <v>#VALUE!</v>
      </c>
      <c r="B1" s="4"/>
      <c r="C1" s="42" t="s">
        <v>0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25.05" customHeight="1">
      <c r="A2" s="78"/>
      <c r="B2" s="4"/>
      <c r="C2" s="43" t="s">
        <v>98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22.05" customHeight="1">
      <c r="A3" s="44" t="s">
        <v>99</v>
      </c>
      <c r="B3" s="45"/>
      <c r="C3" s="45"/>
      <c r="D3" s="45"/>
      <c r="E3" s="45" t="s">
        <v>100</v>
      </c>
      <c r="F3" s="45"/>
      <c r="G3" s="45"/>
      <c r="H3" s="45"/>
      <c r="I3" s="45" t="s">
        <v>101</v>
      </c>
      <c r="J3" s="45"/>
      <c r="K3" s="45"/>
      <c r="L3" s="45"/>
      <c r="M3" s="45" t="s">
        <v>102</v>
      </c>
      <c r="N3" s="45"/>
      <c r="O3" s="45"/>
      <c r="P3" s="45"/>
      <c r="Q3" s="45"/>
      <c r="R3" s="45" t="s">
        <v>103</v>
      </c>
      <c r="S3" s="45"/>
      <c r="T3" s="45"/>
      <c r="U3" s="45"/>
      <c r="V3" s="45"/>
      <c r="W3" s="45" t="s">
        <v>104</v>
      </c>
      <c r="X3" s="45"/>
      <c r="Y3" s="45"/>
      <c r="Z3" s="45"/>
      <c r="AA3" s="45"/>
      <c r="AB3" s="45"/>
      <c r="AC3" s="45"/>
      <c r="AD3" s="45"/>
      <c r="AE3" s="45"/>
      <c r="AF3" s="46"/>
    </row>
    <row r="4" spans="1:32" ht="22.05" customHeight="1">
      <c r="A4" s="47" t="s">
        <v>105</v>
      </c>
      <c r="B4" s="48"/>
      <c r="C4" s="48"/>
      <c r="D4" s="48"/>
      <c r="E4" s="48"/>
      <c r="F4" s="48"/>
      <c r="G4" s="48" t="s">
        <v>106</v>
      </c>
      <c r="H4" s="48"/>
      <c r="I4" s="48"/>
      <c r="J4" s="48"/>
      <c r="K4" s="48"/>
      <c r="L4" s="48"/>
      <c r="M4" s="48" t="s">
        <v>107</v>
      </c>
      <c r="N4" s="48"/>
      <c r="O4" s="48"/>
      <c r="P4" s="48"/>
      <c r="Q4" s="48"/>
      <c r="R4" s="48"/>
      <c r="S4" s="48" t="s">
        <v>108</v>
      </c>
      <c r="T4" s="48"/>
      <c r="U4" s="48"/>
      <c r="V4" s="48"/>
      <c r="W4" s="48"/>
      <c r="X4" s="48"/>
      <c r="Y4" s="48" t="s">
        <v>109</v>
      </c>
      <c r="Z4" s="48"/>
      <c r="AA4" s="48"/>
      <c r="AB4" s="48"/>
      <c r="AC4" s="48"/>
      <c r="AD4" s="48"/>
      <c r="AE4" s="48"/>
      <c r="AF4" s="49"/>
    </row>
    <row r="5" spans="1:3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24" customHeight="1">
      <c r="A6" s="50" t="s">
        <v>110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24" customHeight="1">
      <c r="A7" s="51" t="s">
        <v>111</v>
      </c>
      <c r="B7" s="51"/>
      <c r="C7" s="51"/>
      <c r="E7" s="51" t="s">
        <v>20</v>
      </c>
      <c r="F7" s="51"/>
      <c r="G7" s="51"/>
      <c r="I7" s="51" t="s">
        <v>112</v>
      </c>
      <c r="J7" s="51"/>
      <c r="K7" s="51"/>
      <c r="M7" s="51" t="s">
        <v>32</v>
      </c>
      <c r="N7" s="51"/>
      <c r="O7" s="51"/>
      <c r="Q7" s="51" t="s">
        <v>113</v>
      </c>
      <c r="R7" s="51"/>
      <c r="S7" s="51"/>
      <c r="U7" s="51" t="s">
        <v>114</v>
      </c>
      <c r="V7" s="51"/>
      <c r="W7" s="51"/>
      <c r="Y7" s="51" t="s">
        <v>115</v>
      </c>
      <c r="Z7" s="51"/>
      <c r="AA7" s="51"/>
      <c r="AC7" s="51" t="s">
        <v>116</v>
      </c>
      <c r="AD7" s="51"/>
      <c r="AE7" s="51"/>
      <c r="AF7" s="51"/>
    </row>
    <row r="8" spans="1:32" ht="24" customHeight="1">
      <c r="A8" s="52">
        <f>COUNTIF(B13:B112,"&lt;&gt;")</f>
        <v>0</v>
      </c>
      <c r="B8" s="53"/>
      <c r="C8" s="54"/>
      <c r="E8" s="52">
        <f>COUNTIF(Y13:Y112,"Pendiente de aprobación")</f>
        <v>0</v>
      </c>
      <c r="F8" s="53"/>
      <c r="G8" s="54"/>
      <c r="I8" s="52">
        <f>COUNTIF(Y13:Y112,"Aprobado")</f>
        <v>0</v>
      </c>
      <c r="J8" s="53"/>
      <c r="K8" s="54"/>
      <c r="M8" s="52">
        <f>COUNTIF(Y13:Y112,"En implementación")</f>
        <v>0</v>
      </c>
      <c r="N8" s="53"/>
      <c r="O8" s="54"/>
      <c r="Q8" s="52">
        <f>COUNTIF(Y13:Y112,"Cerrado")</f>
        <v>0</v>
      </c>
      <c r="R8" s="53"/>
      <c r="S8" s="54"/>
      <c r="U8" s="52">
        <f>COUNTIF(Y13:Y112,"Rechazado")</f>
        <v>0</v>
      </c>
      <c r="V8" s="53"/>
      <c r="W8" s="54"/>
      <c r="Y8" s="52">
        <f ca="1">COUNTIFS(Z13:Z112,"&lt;"&amp;TODAY(),Z13:Z112,"&lt;&gt;",Y13:Y112,"&lt;&gt;Cerrado",Y13:Y112,"&lt;&gt;Cancelado",Y13:Y112,"&lt;&gt;Rechazado")</f>
        <v>0</v>
      </c>
      <c r="Z8" s="53"/>
      <c r="AA8" s="54"/>
      <c r="AC8" s="52" t="str">
        <f ca="1">IF(Y8&gt;0,"REQUIERE ATENCIÓN",IF(E8&gt;0,"PENDIENTE DE DECISIÓN","AL DÍA"))</f>
        <v>AL DÍA</v>
      </c>
      <c r="AD8" s="53"/>
      <c r="AE8" s="53"/>
      <c r="AF8" s="54"/>
    </row>
    <row r="9" spans="1:32" ht="24" customHeight="1">
      <c r="A9" s="55"/>
      <c r="B9" s="56"/>
      <c r="C9" s="57"/>
      <c r="E9" s="55"/>
      <c r="F9" s="56"/>
      <c r="G9" s="57"/>
      <c r="I9" s="55"/>
      <c r="J9" s="56"/>
      <c r="K9" s="57"/>
      <c r="M9" s="55"/>
      <c r="N9" s="56"/>
      <c r="O9" s="57"/>
      <c r="Q9" s="55"/>
      <c r="R9" s="56"/>
      <c r="S9" s="57"/>
      <c r="U9" s="55"/>
      <c r="V9" s="56"/>
      <c r="W9" s="57"/>
      <c r="Y9" s="55"/>
      <c r="Z9" s="56"/>
      <c r="AA9" s="57"/>
      <c r="AC9" s="55"/>
      <c r="AD9" s="56"/>
      <c r="AE9" s="56"/>
      <c r="AF9" s="57"/>
    </row>
    <row r="10" spans="1:32" ht="24" customHeight="1">
      <c r="A10" s="58" t="s">
        <v>117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2" spans="1:32" ht="43.95" customHeight="1">
      <c r="A12" s="7" t="s">
        <v>12</v>
      </c>
      <c r="B12" s="8" t="s">
        <v>118</v>
      </c>
      <c r="C12" s="8" t="s">
        <v>119</v>
      </c>
      <c r="D12" s="8" t="s">
        <v>120</v>
      </c>
      <c r="E12" s="8" t="s">
        <v>121</v>
      </c>
      <c r="F12" s="8" t="s">
        <v>122</v>
      </c>
      <c r="G12" s="8" t="s">
        <v>123</v>
      </c>
      <c r="H12" s="8" t="s">
        <v>124</v>
      </c>
      <c r="I12" s="8" t="s">
        <v>125</v>
      </c>
      <c r="J12" s="8" t="s">
        <v>126</v>
      </c>
      <c r="K12" s="8" t="s">
        <v>127</v>
      </c>
      <c r="L12" s="8" t="s">
        <v>128</v>
      </c>
      <c r="M12" s="8" t="s">
        <v>129</v>
      </c>
      <c r="N12" s="8" t="s">
        <v>130</v>
      </c>
      <c r="O12" s="8" t="s">
        <v>131</v>
      </c>
      <c r="P12" s="8" t="s">
        <v>132</v>
      </c>
      <c r="Q12" s="8" t="s">
        <v>133</v>
      </c>
      <c r="R12" s="8" t="s">
        <v>134</v>
      </c>
      <c r="S12" s="8" t="s">
        <v>135</v>
      </c>
      <c r="T12" s="8" t="s">
        <v>136</v>
      </c>
      <c r="U12" s="8" t="s">
        <v>10</v>
      </c>
      <c r="V12" s="8" t="s">
        <v>137</v>
      </c>
      <c r="W12" s="8" t="s">
        <v>46</v>
      </c>
      <c r="X12" s="8" t="s">
        <v>138</v>
      </c>
      <c r="Y12" s="8" t="s">
        <v>42</v>
      </c>
      <c r="Z12" s="8" t="s">
        <v>139</v>
      </c>
      <c r="AA12" s="8" t="s">
        <v>140</v>
      </c>
      <c r="AB12" s="8" t="s">
        <v>141</v>
      </c>
      <c r="AC12" s="8" t="s">
        <v>142</v>
      </c>
      <c r="AD12" s="8" t="s">
        <v>143</v>
      </c>
      <c r="AE12" s="8" t="s">
        <v>144</v>
      </c>
      <c r="AF12" s="9" t="s">
        <v>145</v>
      </c>
    </row>
    <row r="13" spans="1:32" ht="45" customHeight="1">
      <c r="A13" s="10" t="str">
        <f t="shared" ref="A13:A44" si="0">IF(B13="","","SC-"&amp;TEXT(ROW()-12,"000"))</f>
        <v/>
      </c>
      <c r="B13" s="1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 t="str">
        <f t="shared" ref="R13:R44" si="1">IF(OR(P13="",Q13=""),"",P13*Q13)</f>
        <v/>
      </c>
      <c r="S13" s="10" t="str">
        <f t="shared" ref="S13:S44" si="2">IF(R13="","",IF(R13&gt;=17,"Crítico",IF(R13&gt;=10,"Alto",IF(R13&gt;=5,"Medio","Bajo"))))</f>
        <v/>
      </c>
      <c r="T13" s="10"/>
      <c r="U13" s="10"/>
      <c r="V13" s="10"/>
      <c r="W13" s="10"/>
      <c r="X13" s="10"/>
      <c r="Y13" s="10"/>
      <c r="Z13" s="13"/>
      <c r="AA13" s="13"/>
      <c r="AB13" s="10"/>
      <c r="AC13" s="10"/>
      <c r="AD13" s="10"/>
      <c r="AE13" s="10"/>
      <c r="AF13" s="10"/>
    </row>
    <row r="14" spans="1:32" ht="45" customHeight="1">
      <c r="A14" s="11" t="str">
        <f t="shared" si="0"/>
        <v/>
      </c>
      <c r="B14" s="14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 t="str">
        <f t="shared" si="1"/>
        <v/>
      </c>
      <c r="S14" s="11" t="str">
        <f t="shared" si="2"/>
        <v/>
      </c>
      <c r="T14" s="11"/>
      <c r="U14" s="11"/>
      <c r="V14" s="11"/>
      <c r="W14" s="11"/>
      <c r="X14" s="11"/>
      <c r="Y14" s="11"/>
      <c r="Z14" s="14"/>
      <c r="AA14" s="14"/>
      <c r="AB14" s="11"/>
      <c r="AC14" s="11"/>
      <c r="AD14" s="11"/>
      <c r="AE14" s="11"/>
      <c r="AF14" s="11"/>
    </row>
    <row r="15" spans="1:32" ht="45" customHeight="1">
      <c r="A15" s="11" t="str">
        <f t="shared" si="0"/>
        <v/>
      </c>
      <c r="B15" s="14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 t="str">
        <f t="shared" si="1"/>
        <v/>
      </c>
      <c r="S15" s="11" t="str">
        <f t="shared" si="2"/>
        <v/>
      </c>
      <c r="T15" s="11"/>
      <c r="U15" s="11"/>
      <c r="V15" s="11"/>
      <c r="W15" s="11"/>
      <c r="X15" s="11"/>
      <c r="Y15" s="11"/>
      <c r="Z15" s="14"/>
      <c r="AA15" s="14"/>
      <c r="AB15" s="11"/>
      <c r="AC15" s="11"/>
      <c r="AD15" s="11"/>
      <c r="AE15" s="11"/>
      <c r="AF15" s="11"/>
    </row>
    <row r="16" spans="1:32" ht="45" customHeight="1">
      <c r="A16" s="11" t="str">
        <f t="shared" si="0"/>
        <v/>
      </c>
      <c r="B16" s="14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 t="str">
        <f t="shared" si="1"/>
        <v/>
      </c>
      <c r="S16" s="11" t="str">
        <f t="shared" si="2"/>
        <v/>
      </c>
      <c r="T16" s="11"/>
      <c r="U16" s="11"/>
      <c r="V16" s="11"/>
      <c r="W16" s="11"/>
      <c r="X16" s="11"/>
      <c r="Y16" s="11"/>
      <c r="Z16" s="14"/>
      <c r="AA16" s="14"/>
      <c r="AB16" s="11"/>
      <c r="AC16" s="11"/>
      <c r="AD16" s="11"/>
      <c r="AE16" s="11"/>
      <c r="AF16" s="11"/>
    </row>
    <row r="17" spans="1:32" ht="45" customHeight="1">
      <c r="A17" s="11" t="str">
        <f t="shared" si="0"/>
        <v/>
      </c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 t="str">
        <f t="shared" si="1"/>
        <v/>
      </c>
      <c r="S17" s="11" t="str">
        <f t="shared" si="2"/>
        <v/>
      </c>
      <c r="T17" s="11"/>
      <c r="U17" s="11"/>
      <c r="V17" s="11"/>
      <c r="W17" s="11"/>
      <c r="X17" s="11"/>
      <c r="Y17" s="11"/>
      <c r="Z17" s="14"/>
      <c r="AA17" s="14"/>
      <c r="AB17" s="11"/>
      <c r="AC17" s="11"/>
      <c r="AD17" s="11"/>
      <c r="AE17" s="11"/>
      <c r="AF17" s="11"/>
    </row>
    <row r="18" spans="1:32" ht="45" customHeight="1">
      <c r="A18" s="11" t="str">
        <f t="shared" si="0"/>
        <v/>
      </c>
      <c r="B18" s="1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 t="str">
        <f t="shared" si="1"/>
        <v/>
      </c>
      <c r="S18" s="11" t="str">
        <f t="shared" si="2"/>
        <v/>
      </c>
      <c r="T18" s="11"/>
      <c r="U18" s="11"/>
      <c r="V18" s="11"/>
      <c r="W18" s="11"/>
      <c r="X18" s="11"/>
      <c r="Y18" s="11"/>
      <c r="Z18" s="14"/>
      <c r="AA18" s="14"/>
      <c r="AB18" s="11"/>
      <c r="AC18" s="11"/>
      <c r="AD18" s="11"/>
      <c r="AE18" s="11"/>
      <c r="AF18" s="11"/>
    </row>
    <row r="19" spans="1:32" ht="45" customHeight="1">
      <c r="A19" s="11" t="str">
        <f t="shared" si="0"/>
        <v/>
      </c>
      <c r="B19" s="14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 t="str">
        <f t="shared" si="1"/>
        <v/>
      </c>
      <c r="S19" s="11" t="str">
        <f t="shared" si="2"/>
        <v/>
      </c>
      <c r="T19" s="11"/>
      <c r="U19" s="11"/>
      <c r="V19" s="11"/>
      <c r="W19" s="11"/>
      <c r="X19" s="11"/>
      <c r="Y19" s="11"/>
      <c r="Z19" s="14"/>
      <c r="AA19" s="14"/>
      <c r="AB19" s="11"/>
      <c r="AC19" s="11"/>
      <c r="AD19" s="11"/>
      <c r="AE19" s="11"/>
      <c r="AF19" s="11"/>
    </row>
    <row r="20" spans="1:32" ht="45" customHeight="1">
      <c r="A20" s="11" t="str">
        <f t="shared" si="0"/>
        <v/>
      </c>
      <c r="B20" s="14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 t="str">
        <f t="shared" si="1"/>
        <v/>
      </c>
      <c r="S20" s="11" t="str">
        <f t="shared" si="2"/>
        <v/>
      </c>
      <c r="T20" s="11"/>
      <c r="U20" s="11"/>
      <c r="V20" s="11"/>
      <c r="W20" s="11"/>
      <c r="X20" s="11"/>
      <c r="Y20" s="11"/>
      <c r="Z20" s="14"/>
      <c r="AA20" s="14"/>
      <c r="AB20" s="11"/>
      <c r="AC20" s="11"/>
      <c r="AD20" s="11"/>
      <c r="AE20" s="11"/>
      <c r="AF20" s="11"/>
    </row>
    <row r="21" spans="1:32" ht="45" customHeight="1">
      <c r="A21" s="11" t="str">
        <f t="shared" si="0"/>
        <v/>
      </c>
      <c r="B21" s="14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 t="str">
        <f t="shared" si="1"/>
        <v/>
      </c>
      <c r="S21" s="11" t="str">
        <f t="shared" si="2"/>
        <v/>
      </c>
      <c r="T21" s="11"/>
      <c r="U21" s="11"/>
      <c r="V21" s="11"/>
      <c r="W21" s="11"/>
      <c r="X21" s="11"/>
      <c r="Y21" s="11"/>
      <c r="Z21" s="14"/>
      <c r="AA21" s="14"/>
      <c r="AB21" s="11"/>
      <c r="AC21" s="11"/>
      <c r="AD21" s="11"/>
      <c r="AE21" s="11"/>
      <c r="AF21" s="11"/>
    </row>
    <row r="22" spans="1:32" ht="45" customHeight="1">
      <c r="A22" s="11" t="str">
        <f t="shared" si="0"/>
        <v/>
      </c>
      <c r="B22" s="14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 t="str">
        <f t="shared" si="1"/>
        <v/>
      </c>
      <c r="S22" s="11" t="str">
        <f t="shared" si="2"/>
        <v/>
      </c>
      <c r="T22" s="11"/>
      <c r="U22" s="11"/>
      <c r="V22" s="11"/>
      <c r="W22" s="11"/>
      <c r="X22" s="11"/>
      <c r="Y22" s="11"/>
      <c r="Z22" s="14"/>
      <c r="AA22" s="14"/>
      <c r="AB22" s="11"/>
      <c r="AC22" s="11"/>
      <c r="AD22" s="11"/>
      <c r="AE22" s="11"/>
      <c r="AF22" s="11"/>
    </row>
    <row r="23" spans="1:32" ht="45" customHeight="1">
      <c r="A23" s="11" t="str">
        <f t="shared" si="0"/>
        <v/>
      </c>
      <c r="B23" s="14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 t="str">
        <f t="shared" si="1"/>
        <v/>
      </c>
      <c r="S23" s="11" t="str">
        <f t="shared" si="2"/>
        <v/>
      </c>
      <c r="T23" s="11"/>
      <c r="U23" s="11"/>
      <c r="V23" s="11"/>
      <c r="W23" s="11"/>
      <c r="X23" s="11"/>
      <c r="Y23" s="11"/>
      <c r="Z23" s="14"/>
      <c r="AA23" s="14"/>
      <c r="AB23" s="11"/>
      <c r="AC23" s="11"/>
      <c r="AD23" s="11"/>
      <c r="AE23" s="11"/>
      <c r="AF23" s="11"/>
    </row>
    <row r="24" spans="1:32" ht="45" customHeight="1">
      <c r="A24" s="11" t="str">
        <f t="shared" si="0"/>
        <v/>
      </c>
      <c r="B24" s="14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 t="str">
        <f t="shared" si="1"/>
        <v/>
      </c>
      <c r="S24" s="11" t="str">
        <f t="shared" si="2"/>
        <v/>
      </c>
      <c r="T24" s="11"/>
      <c r="U24" s="11"/>
      <c r="V24" s="11"/>
      <c r="W24" s="11"/>
      <c r="X24" s="11"/>
      <c r="Y24" s="11"/>
      <c r="Z24" s="14"/>
      <c r="AA24" s="14"/>
      <c r="AB24" s="11"/>
      <c r="AC24" s="11"/>
      <c r="AD24" s="11"/>
      <c r="AE24" s="11"/>
      <c r="AF24" s="11"/>
    </row>
    <row r="25" spans="1:32" ht="45" customHeight="1">
      <c r="A25" s="11" t="str">
        <f t="shared" si="0"/>
        <v/>
      </c>
      <c r="B25" s="14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 t="str">
        <f t="shared" si="1"/>
        <v/>
      </c>
      <c r="S25" s="11" t="str">
        <f t="shared" si="2"/>
        <v/>
      </c>
      <c r="T25" s="11"/>
      <c r="U25" s="11"/>
      <c r="V25" s="11"/>
      <c r="W25" s="11"/>
      <c r="X25" s="11"/>
      <c r="Y25" s="11"/>
      <c r="Z25" s="14"/>
      <c r="AA25" s="14"/>
      <c r="AB25" s="11"/>
      <c r="AC25" s="11"/>
      <c r="AD25" s="11"/>
      <c r="AE25" s="11"/>
      <c r="AF25" s="11"/>
    </row>
    <row r="26" spans="1:32" ht="45" customHeight="1">
      <c r="A26" s="11" t="str">
        <f t="shared" si="0"/>
        <v/>
      </c>
      <c r="B26" s="14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 t="str">
        <f t="shared" si="1"/>
        <v/>
      </c>
      <c r="S26" s="11" t="str">
        <f t="shared" si="2"/>
        <v/>
      </c>
      <c r="T26" s="11"/>
      <c r="U26" s="11"/>
      <c r="V26" s="11"/>
      <c r="W26" s="11"/>
      <c r="X26" s="11"/>
      <c r="Y26" s="11"/>
      <c r="Z26" s="14"/>
      <c r="AA26" s="14"/>
      <c r="AB26" s="11"/>
      <c r="AC26" s="11"/>
      <c r="AD26" s="11"/>
      <c r="AE26" s="11"/>
      <c r="AF26" s="11"/>
    </row>
    <row r="27" spans="1:32" ht="45" customHeight="1">
      <c r="A27" s="11" t="str">
        <f t="shared" si="0"/>
        <v/>
      </c>
      <c r="B27" s="14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 t="str">
        <f t="shared" si="1"/>
        <v/>
      </c>
      <c r="S27" s="11" t="str">
        <f t="shared" si="2"/>
        <v/>
      </c>
      <c r="T27" s="11"/>
      <c r="U27" s="11"/>
      <c r="V27" s="11"/>
      <c r="W27" s="11"/>
      <c r="X27" s="11"/>
      <c r="Y27" s="11"/>
      <c r="Z27" s="14"/>
      <c r="AA27" s="14"/>
      <c r="AB27" s="11"/>
      <c r="AC27" s="11"/>
      <c r="AD27" s="11"/>
      <c r="AE27" s="11"/>
      <c r="AF27" s="11"/>
    </row>
    <row r="28" spans="1:32" ht="45" customHeight="1">
      <c r="A28" s="11" t="str">
        <f t="shared" si="0"/>
        <v/>
      </c>
      <c r="B28" s="14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 t="str">
        <f t="shared" si="1"/>
        <v/>
      </c>
      <c r="S28" s="11" t="str">
        <f t="shared" si="2"/>
        <v/>
      </c>
      <c r="T28" s="11"/>
      <c r="U28" s="11"/>
      <c r="V28" s="11"/>
      <c r="W28" s="11"/>
      <c r="X28" s="11"/>
      <c r="Y28" s="11"/>
      <c r="Z28" s="14"/>
      <c r="AA28" s="14"/>
      <c r="AB28" s="11"/>
      <c r="AC28" s="11"/>
      <c r="AD28" s="11"/>
      <c r="AE28" s="11"/>
      <c r="AF28" s="11"/>
    </row>
    <row r="29" spans="1:32" ht="45" customHeight="1">
      <c r="A29" s="11" t="str">
        <f t="shared" si="0"/>
        <v/>
      </c>
      <c r="B29" s="14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 t="str">
        <f t="shared" si="1"/>
        <v/>
      </c>
      <c r="S29" s="11" t="str">
        <f t="shared" si="2"/>
        <v/>
      </c>
      <c r="T29" s="11"/>
      <c r="U29" s="11"/>
      <c r="V29" s="11"/>
      <c r="W29" s="11"/>
      <c r="X29" s="11"/>
      <c r="Y29" s="11"/>
      <c r="Z29" s="14"/>
      <c r="AA29" s="14"/>
      <c r="AB29" s="11"/>
      <c r="AC29" s="11"/>
      <c r="AD29" s="11"/>
      <c r="AE29" s="11"/>
      <c r="AF29" s="11"/>
    </row>
    <row r="30" spans="1:32" ht="45" customHeight="1">
      <c r="A30" s="11" t="str">
        <f t="shared" si="0"/>
        <v/>
      </c>
      <c r="B30" s="14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 t="str">
        <f t="shared" si="1"/>
        <v/>
      </c>
      <c r="S30" s="11" t="str">
        <f t="shared" si="2"/>
        <v/>
      </c>
      <c r="T30" s="11"/>
      <c r="U30" s="11"/>
      <c r="V30" s="11"/>
      <c r="W30" s="11"/>
      <c r="X30" s="11"/>
      <c r="Y30" s="11"/>
      <c r="Z30" s="14"/>
      <c r="AA30" s="14"/>
      <c r="AB30" s="11"/>
      <c r="AC30" s="11"/>
      <c r="AD30" s="11"/>
      <c r="AE30" s="11"/>
      <c r="AF30" s="11"/>
    </row>
    <row r="31" spans="1:32" ht="45" customHeight="1">
      <c r="A31" s="11" t="str">
        <f t="shared" si="0"/>
        <v/>
      </c>
      <c r="B31" s="14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 t="str">
        <f t="shared" si="1"/>
        <v/>
      </c>
      <c r="S31" s="11" t="str">
        <f t="shared" si="2"/>
        <v/>
      </c>
      <c r="T31" s="11"/>
      <c r="U31" s="11"/>
      <c r="V31" s="11"/>
      <c r="W31" s="11"/>
      <c r="X31" s="11"/>
      <c r="Y31" s="11"/>
      <c r="Z31" s="14"/>
      <c r="AA31" s="14"/>
      <c r="AB31" s="11"/>
      <c r="AC31" s="11"/>
      <c r="AD31" s="11"/>
      <c r="AE31" s="11"/>
      <c r="AF31" s="11"/>
    </row>
    <row r="32" spans="1:32" ht="45" customHeight="1">
      <c r="A32" s="11" t="str">
        <f t="shared" si="0"/>
        <v/>
      </c>
      <c r="B32" s="14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 t="str">
        <f t="shared" si="1"/>
        <v/>
      </c>
      <c r="S32" s="11" t="str">
        <f t="shared" si="2"/>
        <v/>
      </c>
      <c r="T32" s="11"/>
      <c r="U32" s="11"/>
      <c r="V32" s="11"/>
      <c r="W32" s="11"/>
      <c r="X32" s="11"/>
      <c r="Y32" s="11"/>
      <c r="Z32" s="14"/>
      <c r="AA32" s="14"/>
      <c r="AB32" s="11"/>
      <c r="AC32" s="11"/>
      <c r="AD32" s="11"/>
      <c r="AE32" s="11"/>
      <c r="AF32" s="11"/>
    </row>
    <row r="33" spans="1:32" ht="45" customHeight="1">
      <c r="A33" s="11" t="str">
        <f t="shared" si="0"/>
        <v/>
      </c>
      <c r="B33" s="14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 t="str">
        <f t="shared" si="1"/>
        <v/>
      </c>
      <c r="S33" s="11" t="str">
        <f t="shared" si="2"/>
        <v/>
      </c>
      <c r="T33" s="11"/>
      <c r="U33" s="11"/>
      <c r="V33" s="11"/>
      <c r="W33" s="11"/>
      <c r="X33" s="11"/>
      <c r="Y33" s="11"/>
      <c r="Z33" s="14"/>
      <c r="AA33" s="14"/>
      <c r="AB33" s="11"/>
      <c r="AC33" s="11"/>
      <c r="AD33" s="11"/>
      <c r="AE33" s="11"/>
      <c r="AF33" s="11"/>
    </row>
    <row r="34" spans="1:32" ht="45" customHeight="1">
      <c r="A34" s="11" t="str">
        <f t="shared" si="0"/>
        <v/>
      </c>
      <c r="B34" s="14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 t="str">
        <f t="shared" si="1"/>
        <v/>
      </c>
      <c r="S34" s="11" t="str">
        <f t="shared" si="2"/>
        <v/>
      </c>
      <c r="T34" s="11"/>
      <c r="U34" s="11"/>
      <c r="V34" s="11"/>
      <c r="W34" s="11"/>
      <c r="X34" s="11"/>
      <c r="Y34" s="11"/>
      <c r="Z34" s="14"/>
      <c r="AA34" s="14"/>
      <c r="AB34" s="11"/>
      <c r="AC34" s="11"/>
      <c r="AD34" s="11"/>
      <c r="AE34" s="11"/>
      <c r="AF34" s="11"/>
    </row>
    <row r="35" spans="1:32" ht="45" customHeight="1">
      <c r="A35" s="11" t="str">
        <f t="shared" si="0"/>
        <v/>
      </c>
      <c r="B35" s="14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 t="str">
        <f t="shared" si="1"/>
        <v/>
      </c>
      <c r="S35" s="11" t="str">
        <f t="shared" si="2"/>
        <v/>
      </c>
      <c r="T35" s="11"/>
      <c r="U35" s="11"/>
      <c r="V35" s="11"/>
      <c r="W35" s="11"/>
      <c r="X35" s="11"/>
      <c r="Y35" s="11"/>
      <c r="Z35" s="14"/>
      <c r="AA35" s="14"/>
      <c r="AB35" s="11"/>
      <c r="AC35" s="11"/>
      <c r="AD35" s="11"/>
      <c r="AE35" s="11"/>
      <c r="AF35" s="11"/>
    </row>
    <row r="36" spans="1:32" ht="45" customHeight="1">
      <c r="A36" s="11" t="str">
        <f t="shared" si="0"/>
        <v/>
      </c>
      <c r="B36" s="14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 t="str">
        <f t="shared" si="1"/>
        <v/>
      </c>
      <c r="S36" s="11" t="str">
        <f t="shared" si="2"/>
        <v/>
      </c>
      <c r="T36" s="11"/>
      <c r="U36" s="11"/>
      <c r="V36" s="11"/>
      <c r="W36" s="11"/>
      <c r="X36" s="11"/>
      <c r="Y36" s="11"/>
      <c r="Z36" s="14"/>
      <c r="AA36" s="14"/>
      <c r="AB36" s="11"/>
      <c r="AC36" s="11"/>
      <c r="AD36" s="11"/>
      <c r="AE36" s="11"/>
      <c r="AF36" s="11"/>
    </row>
    <row r="37" spans="1:32" ht="45" customHeight="1">
      <c r="A37" s="11" t="str">
        <f t="shared" si="0"/>
        <v/>
      </c>
      <c r="B37" s="14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 t="str">
        <f t="shared" si="1"/>
        <v/>
      </c>
      <c r="S37" s="11" t="str">
        <f t="shared" si="2"/>
        <v/>
      </c>
      <c r="T37" s="11"/>
      <c r="U37" s="11"/>
      <c r="V37" s="11"/>
      <c r="W37" s="11"/>
      <c r="X37" s="11"/>
      <c r="Y37" s="11"/>
      <c r="Z37" s="14"/>
      <c r="AA37" s="14"/>
      <c r="AB37" s="11"/>
      <c r="AC37" s="11"/>
      <c r="AD37" s="11"/>
      <c r="AE37" s="11"/>
      <c r="AF37" s="11"/>
    </row>
    <row r="38" spans="1:32" ht="45" customHeight="1">
      <c r="A38" s="11" t="str">
        <f t="shared" si="0"/>
        <v/>
      </c>
      <c r="B38" s="14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 t="str">
        <f t="shared" si="1"/>
        <v/>
      </c>
      <c r="S38" s="11" t="str">
        <f t="shared" si="2"/>
        <v/>
      </c>
      <c r="T38" s="11"/>
      <c r="U38" s="11"/>
      <c r="V38" s="11"/>
      <c r="W38" s="11"/>
      <c r="X38" s="11"/>
      <c r="Y38" s="11"/>
      <c r="Z38" s="14"/>
      <c r="AA38" s="14"/>
      <c r="AB38" s="11"/>
      <c r="AC38" s="11"/>
      <c r="AD38" s="11"/>
      <c r="AE38" s="11"/>
      <c r="AF38" s="11"/>
    </row>
    <row r="39" spans="1:32" ht="45" customHeight="1">
      <c r="A39" s="11" t="str">
        <f t="shared" si="0"/>
        <v/>
      </c>
      <c r="B39" s="14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 t="str">
        <f t="shared" si="1"/>
        <v/>
      </c>
      <c r="S39" s="11" t="str">
        <f t="shared" si="2"/>
        <v/>
      </c>
      <c r="T39" s="11"/>
      <c r="U39" s="11"/>
      <c r="V39" s="11"/>
      <c r="W39" s="11"/>
      <c r="X39" s="11"/>
      <c r="Y39" s="11"/>
      <c r="Z39" s="14"/>
      <c r="AA39" s="14"/>
      <c r="AB39" s="11"/>
      <c r="AC39" s="11"/>
      <c r="AD39" s="11"/>
      <c r="AE39" s="11"/>
      <c r="AF39" s="11"/>
    </row>
    <row r="40" spans="1:32" ht="45" customHeight="1">
      <c r="A40" s="11" t="str">
        <f t="shared" si="0"/>
        <v/>
      </c>
      <c r="B40" s="14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 t="str">
        <f t="shared" si="1"/>
        <v/>
      </c>
      <c r="S40" s="11" t="str">
        <f t="shared" si="2"/>
        <v/>
      </c>
      <c r="T40" s="11"/>
      <c r="U40" s="11"/>
      <c r="V40" s="11"/>
      <c r="W40" s="11"/>
      <c r="X40" s="11"/>
      <c r="Y40" s="11"/>
      <c r="Z40" s="14"/>
      <c r="AA40" s="14"/>
      <c r="AB40" s="11"/>
      <c r="AC40" s="11"/>
      <c r="AD40" s="11"/>
      <c r="AE40" s="11"/>
      <c r="AF40" s="11"/>
    </row>
    <row r="41" spans="1:32" ht="45" customHeight="1">
      <c r="A41" s="11" t="str">
        <f t="shared" si="0"/>
        <v/>
      </c>
      <c r="B41" s="14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 t="str">
        <f t="shared" si="1"/>
        <v/>
      </c>
      <c r="S41" s="11" t="str">
        <f t="shared" si="2"/>
        <v/>
      </c>
      <c r="T41" s="11"/>
      <c r="U41" s="11"/>
      <c r="V41" s="11"/>
      <c r="W41" s="11"/>
      <c r="X41" s="11"/>
      <c r="Y41" s="11"/>
      <c r="Z41" s="14"/>
      <c r="AA41" s="14"/>
      <c r="AB41" s="11"/>
      <c r="AC41" s="11"/>
      <c r="AD41" s="11"/>
      <c r="AE41" s="11"/>
      <c r="AF41" s="11"/>
    </row>
    <row r="42" spans="1:32" ht="45" customHeight="1">
      <c r="A42" s="11" t="str">
        <f t="shared" si="0"/>
        <v/>
      </c>
      <c r="B42" s="14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 t="str">
        <f t="shared" si="1"/>
        <v/>
      </c>
      <c r="S42" s="11" t="str">
        <f t="shared" si="2"/>
        <v/>
      </c>
      <c r="T42" s="11"/>
      <c r="U42" s="11"/>
      <c r="V42" s="11"/>
      <c r="W42" s="11"/>
      <c r="X42" s="11"/>
      <c r="Y42" s="11"/>
      <c r="Z42" s="14"/>
      <c r="AA42" s="14"/>
      <c r="AB42" s="11"/>
      <c r="AC42" s="11"/>
      <c r="AD42" s="11"/>
      <c r="AE42" s="11"/>
      <c r="AF42" s="11"/>
    </row>
    <row r="43" spans="1:32" ht="45" customHeight="1">
      <c r="A43" s="11" t="str">
        <f t="shared" si="0"/>
        <v/>
      </c>
      <c r="B43" s="14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 t="str">
        <f t="shared" si="1"/>
        <v/>
      </c>
      <c r="S43" s="11" t="str">
        <f t="shared" si="2"/>
        <v/>
      </c>
      <c r="T43" s="11"/>
      <c r="U43" s="11"/>
      <c r="V43" s="11"/>
      <c r="W43" s="11"/>
      <c r="X43" s="11"/>
      <c r="Y43" s="11"/>
      <c r="Z43" s="14"/>
      <c r="AA43" s="14"/>
      <c r="AB43" s="11"/>
      <c r="AC43" s="11"/>
      <c r="AD43" s="11"/>
      <c r="AE43" s="11"/>
      <c r="AF43" s="11"/>
    </row>
    <row r="44" spans="1:32" ht="45" customHeight="1">
      <c r="A44" s="11" t="str">
        <f t="shared" si="0"/>
        <v/>
      </c>
      <c r="B44" s="14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 t="str">
        <f t="shared" si="1"/>
        <v/>
      </c>
      <c r="S44" s="11" t="str">
        <f t="shared" si="2"/>
        <v/>
      </c>
      <c r="T44" s="11"/>
      <c r="U44" s="11"/>
      <c r="V44" s="11"/>
      <c r="W44" s="11"/>
      <c r="X44" s="11"/>
      <c r="Y44" s="11"/>
      <c r="Z44" s="14"/>
      <c r="AA44" s="14"/>
      <c r="AB44" s="11"/>
      <c r="AC44" s="11"/>
      <c r="AD44" s="11"/>
      <c r="AE44" s="11"/>
      <c r="AF44" s="11"/>
    </row>
    <row r="45" spans="1:32" ht="45" customHeight="1">
      <c r="A45" s="11" t="str">
        <f t="shared" ref="A45:A76" si="3">IF(B45="","","SC-"&amp;TEXT(ROW()-12,"000"))</f>
        <v/>
      </c>
      <c r="B45" s="14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 t="str">
        <f t="shared" ref="R45:R76" si="4">IF(OR(P45="",Q45=""),"",P45*Q45)</f>
        <v/>
      </c>
      <c r="S45" s="11" t="str">
        <f t="shared" ref="S45:S76" si="5">IF(R45="","",IF(R45&gt;=17,"Crítico",IF(R45&gt;=10,"Alto",IF(R45&gt;=5,"Medio","Bajo"))))</f>
        <v/>
      </c>
      <c r="T45" s="11"/>
      <c r="U45" s="11"/>
      <c r="V45" s="11"/>
      <c r="W45" s="11"/>
      <c r="X45" s="11"/>
      <c r="Y45" s="11"/>
      <c r="Z45" s="14"/>
      <c r="AA45" s="14"/>
      <c r="AB45" s="11"/>
      <c r="AC45" s="11"/>
      <c r="AD45" s="11"/>
      <c r="AE45" s="11"/>
      <c r="AF45" s="11"/>
    </row>
    <row r="46" spans="1:32" ht="45" customHeight="1">
      <c r="A46" s="11" t="str">
        <f t="shared" si="3"/>
        <v/>
      </c>
      <c r="B46" s="14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 t="str">
        <f t="shared" si="4"/>
        <v/>
      </c>
      <c r="S46" s="11" t="str">
        <f t="shared" si="5"/>
        <v/>
      </c>
      <c r="T46" s="11"/>
      <c r="U46" s="11"/>
      <c r="V46" s="11"/>
      <c r="W46" s="11"/>
      <c r="X46" s="11"/>
      <c r="Y46" s="11"/>
      <c r="Z46" s="14"/>
      <c r="AA46" s="14"/>
      <c r="AB46" s="11"/>
      <c r="AC46" s="11"/>
      <c r="AD46" s="11"/>
      <c r="AE46" s="11"/>
      <c r="AF46" s="11"/>
    </row>
    <row r="47" spans="1:32" ht="45" customHeight="1">
      <c r="A47" s="11" t="str">
        <f t="shared" si="3"/>
        <v/>
      </c>
      <c r="B47" s="14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 t="str">
        <f t="shared" si="4"/>
        <v/>
      </c>
      <c r="S47" s="11" t="str">
        <f t="shared" si="5"/>
        <v/>
      </c>
      <c r="T47" s="11"/>
      <c r="U47" s="11"/>
      <c r="V47" s="11"/>
      <c r="W47" s="11"/>
      <c r="X47" s="11"/>
      <c r="Y47" s="11"/>
      <c r="Z47" s="14"/>
      <c r="AA47" s="14"/>
      <c r="AB47" s="11"/>
      <c r="AC47" s="11"/>
      <c r="AD47" s="11"/>
      <c r="AE47" s="11"/>
      <c r="AF47" s="11"/>
    </row>
    <row r="48" spans="1:32" ht="45" customHeight="1">
      <c r="A48" s="11" t="str">
        <f t="shared" si="3"/>
        <v/>
      </c>
      <c r="B48" s="14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 t="str">
        <f t="shared" si="4"/>
        <v/>
      </c>
      <c r="S48" s="11" t="str">
        <f t="shared" si="5"/>
        <v/>
      </c>
      <c r="T48" s="11"/>
      <c r="U48" s="11"/>
      <c r="V48" s="11"/>
      <c r="W48" s="11"/>
      <c r="X48" s="11"/>
      <c r="Y48" s="11"/>
      <c r="Z48" s="14"/>
      <c r="AA48" s="14"/>
      <c r="AB48" s="11"/>
      <c r="AC48" s="11"/>
      <c r="AD48" s="11"/>
      <c r="AE48" s="11"/>
      <c r="AF48" s="11"/>
    </row>
    <row r="49" spans="1:32" ht="45" customHeight="1">
      <c r="A49" s="11" t="str">
        <f t="shared" si="3"/>
        <v/>
      </c>
      <c r="B49" s="14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 t="str">
        <f t="shared" si="4"/>
        <v/>
      </c>
      <c r="S49" s="11" t="str">
        <f t="shared" si="5"/>
        <v/>
      </c>
      <c r="T49" s="11"/>
      <c r="U49" s="11"/>
      <c r="V49" s="11"/>
      <c r="W49" s="11"/>
      <c r="X49" s="11"/>
      <c r="Y49" s="11"/>
      <c r="Z49" s="14"/>
      <c r="AA49" s="14"/>
      <c r="AB49" s="11"/>
      <c r="AC49" s="11"/>
      <c r="AD49" s="11"/>
      <c r="AE49" s="11"/>
      <c r="AF49" s="11"/>
    </row>
    <row r="50" spans="1:32" ht="45" customHeight="1">
      <c r="A50" s="11" t="str">
        <f t="shared" si="3"/>
        <v/>
      </c>
      <c r="B50" s="14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 t="str">
        <f t="shared" si="4"/>
        <v/>
      </c>
      <c r="S50" s="11" t="str">
        <f t="shared" si="5"/>
        <v/>
      </c>
      <c r="T50" s="11"/>
      <c r="U50" s="11"/>
      <c r="V50" s="11"/>
      <c r="W50" s="11"/>
      <c r="X50" s="11"/>
      <c r="Y50" s="11"/>
      <c r="Z50" s="14"/>
      <c r="AA50" s="14"/>
      <c r="AB50" s="11"/>
      <c r="AC50" s="11"/>
      <c r="AD50" s="11"/>
      <c r="AE50" s="11"/>
      <c r="AF50" s="11"/>
    </row>
    <row r="51" spans="1:32" ht="45" customHeight="1">
      <c r="A51" s="11" t="str">
        <f t="shared" si="3"/>
        <v/>
      </c>
      <c r="B51" s="14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 t="str">
        <f t="shared" si="4"/>
        <v/>
      </c>
      <c r="S51" s="11" t="str">
        <f t="shared" si="5"/>
        <v/>
      </c>
      <c r="T51" s="11"/>
      <c r="U51" s="11"/>
      <c r="V51" s="11"/>
      <c r="W51" s="11"/>
      <c r="X51" s="11"/>
      <c r="Y51" s="11"/>
      <c r="Z51" s="14"/>
      <c r="AA51" s="14"/>
      <c r="AB51" s="11"/>
      <c r="AC51" s="11"/>
      <c r="AD51" s="11"/>
      <c r="AE51" s="11"/>
      <c r="AF51" s="11"/>
    </row>
    <row r="52" spans="1:32" ht="45" customHeight="1">
      <c r="A52" s="11" t="str">
        <f t="shared" si="3"/>
        <v/>
      </c>
      <c r="B52" s="14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 t="str">
        <f t="shared" si="4"/>
        <v/>
      </c>
      <c r="S52" s="11" t="str">
        <f t="shared" si="5"/>
        <v/>
      </c>
      <c r="T52" s="11"/>
      <c r="U52" s="11"/>
      <c r="V52" s="11"/>
      <c r="W52" s="11"/>
      <c r="X52" s="11"/>
      <c r="Y52" s="11"/>
      <c r="Z52" s="14"/>
      <c r="AA52" s="14"/>
      <c r="AB52" s="11"/>
      <c r="AC52" s="11"/>
      <c r="AD52" s="11"/>
      <c r="AE52" s="11"/>
      <c r="AF52" s="11"/>
    </row>
    <row r="53" spans="1:32" ht="45" customHeight="1">
      <c r="A53" s="11" t="str">
        <f t="shared" si="3"/>
        <v/>
      </c>
      <c r="B53" s="14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 t="str">
        <f t="shared" si="4"/>
        <v/>
      </c>
      <c r="S53" s="11" t="str">
        <f t="shared" si="5"/>
        <v/>
      </c>
      <c r="T53" s="11"/>
      <c r="U53" s="11"/>
      <c r="V53" s="11"/>
      <c r="W53" s="11"/>
      <c r="X53" s="11"/>
      <c r="Y53" s="11"/>
      <c r="Z53" s="14"/>
      <c r="AA53" s="14"/>
      <c r="AB53" s="11"/>
      <c r="AC53" s="11"/>
      <c r="AD53" s="11"/>
      <c r="AE53" s="11"/>
      <c r="AF53" s="11"/>
    </row>
    <row r="54" spans="1:32" ht="45" customHeight="1">
      <c r="A54" s="11" t="str">
        <f t="shared" si="3"/>
        <v/>
      </c>
      <c r="B54" s="14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 t="str">
        <f t="shared" si="4"/>
        <v/>
      </c>
      <c r="S54" s="11" t="str">
        <f t="shared" si="5"/>
        <v/>
      </c>
      <c r="T54" s="11"/>
      <c r="U54" s="11"/>
      <c r="V54" s="11"/>
      <c r="W54" s="11"/>
      <c r="X54" s="11"/>
      <c r="Y54" s="11"/>
      <c r="Z54" s="14"/>
      <c r="AA54" s="14"/>
      <c r="AB54" s="11"/>
      <c r="AC54" s="11"/>
      <c r="AD54" s="11"/>
      <c r="AE54" s="11"/>
      <c r="AF54" s="11"/>
    </row>
    <row r="55" spans="1:32" ht="45" customHeight="1">
      <c r="A55" s="11" t="str">
        <f t="shared" si="3"/>
        <v/>
      </c>
      <c r="B55" s="14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 t="str">
        <f t="shared" si="4"/>
        <v/>
      </c>
      <c r="S55" s="11" t="str">
        <f t="shared" si="5"/>
        <v/>
      </c>
      <c r="T55" s="11"/>
      <c r="U55" s="11"/>
      <c r="V55" s="11"/>
      <c r="W55" s="11"/>
      <c r="X55" s="11"/>
      <c r="Y55" s="11"/>
      <c r="Z55" s="14"/>
      <c r="AA55" s="14"/>
      <c r="AB55" s="11"/>
      <c r="AC55" s="11"/>
      <c r="AD55" s="11"/>
      <c r="AE55" s="11"/>
      <c r="AF55" s="11"/>
    </row>
    <row r="56" spans="1:32" ht="45" customHeight="1">
      <c r="A56" s="11" t="str">
        <f t="shared" si="3"/>
        <v/>
      </c>
      <c r="B56" s="14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 t="str">
        <f t="shared" si="4"/>
        <v/>
      </c>
      <c r="S56" s="11" t="str">
        <f t="shared" si="5"/>
        <v/>
      </c>
      <c r="T56" s="11"/>
      <c r="U56" s="11"/>
      <c r="V56" s="11"/>
      <c r="W56" s="11"/>
      <c r="X56" s="11"/>
      <c r="Y56" s="11"/>
      <c r="Z56" s="14"/>
      <c r="AA56" s="14"/>
      <c r="AB56" s="11"/>
      <c r="AC56" s="11"/>
      <c r="AD56" s="11"/>
      <c r="AE56" s="11"/>
      <c r="AF56" s="11"/>
    </row>
    <row r="57" spans="1:32" ht="45" customHeight="1">
      <c r="A57" s="11" t="str">
        <f t="shared" si="3"/>
        <v/>
      </c>
      <c r="B57" s="14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 t="str">
        <f t="shared" si="4"/>
        <v/>
      </c>
      <c r="S57" s="11" t="str">
        <f t="shared" si="5"/>
        <v/>
      </c>
      <c r="T57" s="11"/>
      <c r="U57" s="11"/>
      <c r="V57" s="11"/>
      <c r="W57" s="11"/>
      <c r="X57" s="11"/>
      <c r="Y57" s="11"/>
      <c r="Z57" s="14"/>
      <c r="AA57" s="14"/>
      <c r="AB57" s="11"/>
      <c r="AC57" s="11"/>
      <c r="AD57" s="11"/>
      <c r="AE57" s="11"/>
      <c r="AF57" s="11"/>
    </row>
    <row r="58" spans="1:32" ht="45" customHeight="1">
      <c r="A58" s="11" t="str">
        <f t="shared" si="3"/>
        <v/>
      </c>
      <c r="B58" s="14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 t="str">
        <f t="shared" si="4"/>
        <v/>
      </c>
      <c r="S58" s="11" t="str">
        <f t="shared" si="5"/>
        <v/>
      </c>
      <c r="T58" s="11"/>
      <c r="U58" s="11"/>
      <c r="V58" s="11"/>
      <c r="W58" s="11"/>
      <c r="X58" s="11"/>
      <c r="Y58" s="11"/>
      <c r="Z58" s="14"/>
      <c r="AA58" s="14"/>
      <c r="AB58" s="11"/>
      <c r="AC58" s="11"/>
      <c r="AD58" s="11"/>
      <c r="AE58" s="11"/>
      <c r="AF58" s="11"/>
    </row>
    <row r="59" spans="1:32" ht="45" customHeight="1">
      <c r="A59" s="11" t="str">
        <f t="shared" si="3"/>
        <v/>
      </c>
      <c r="B59" s="14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 t="str">
        <f t="shared" si="4"/>
        <v/>
      </c>
      <c r="S59" s="11" t="str">
        <f t="shared" si="5"/>
        <v/>
      </c>
      <c r="T59" s="11"/>
      <c r="U59" s="11"/>
      <c r="V59" s="11"/>
      <c r="W59" s="11"/>
      <c r="X59" s="11"/>
      <c r="Y59" s="11"/>
      <c r="Z59" s="14"/>
      <c r="AA59" s="14"/>
      <c r="AB59" s="11"/>
      <c r="AC59" s="11"/>
      <c r="AD59" s="11"/>
      <c r="AE59" s="11"/>
      <c r="AF59" s="11"/>
    </row>
    <row r="60" spans="1:32" ht="45" customHeight="1">
      <c r="A60" s="11" t="str">
        <f t="shared" si="3"/>
        <v/>
      </c>
      <c r="B60" s="14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 t="str">
        <f t="shared" si="4"/>
        <v/>
      </c>
      <c r="S60" s="11" t="str">
        <f t="shared" si="5"/>
        <v/>
      </c>
      <c r="T60" s="11"/>
      <c r="U60" s="11"/>
      <c r="V60" s="11"/>
      <c r="W60" s="11"/>
      <c r="X60" s="11"/>
      <c r="Y60" s="11"/>
      <c r="Z60" s="14"/>
      <c r="AA60" s="14"/>
      <c r="AB60" s="11"/>
      <c r="AC60" s="11"/>
      <c r="AD60" s="11"/>
      <c r="AE60" s="11"/>
      <c r="AF60" s="11"/>
    </row>
    <row r="61" spans="1:32" ht="45" customHeight="1">
      <c r="A61" s="11" t="str">
        <f t="shared" si="3"/>
        <v/>
      </c>
      <c r="B61" s="14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 t="str">
        <f t="shared" si="4"/>
        <v/>
      </c>
      <c r="S61" s="11" t="str">
        <f t="shared" si="5"/>
        <v/>
      </c>
      <c r="T61" s="11"/>
      <c r="U61" s="11"/>
      <c r="V61" s="11"/>
      <c r="W61" s="11"/>
      <c r="X61" s="11"/>
      <c r="Y61" s="11"/>
      <c r="Z61" s="14"/>
      <c r="AA61" s="14"/>
      <c r="AB61" s="11"/>
      <c r="AC61" s="11"/>
      <c r="AD61" s="11"/>
      <c r="AE61" s="11"/>
      <c r="AF61" s="11"/>
    </row>
    <row r="62" spans="1:32" ht="45" customHeight="1">
      <c r="A62" s="11" t="str">
        <f t="shared" si="3"/>
        <v/>
      </c>
      <c r="B62" s="1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 t="str">
        <f t="shared" si="4"/>
        <v/>
      </c>
      <c r="S62" s="11" t="str">
        <f t="shared" si="5"/>
        <v/>
      </c>
      <c r="T62" s="11"/>
      <c r="U62" s="11"/>
      <c r="V62" s="11"/>
      <c r="W62" s="11"/>
      <c r="X62" s="11"/>
      <c r="Y62" s="11"/>
      <c r="Z62" s="14"/>
      <c r="AA62" s="14"/>
      <c r="AB62" s="11"/>
      <c r="AC62" s="11"/>
      <c r="AD62" s="11"/>
      <c r="AE62" s="11"/>
      <c r="AF62" s="11"/>
    </row>
    <row r="63" spans="1:32" ht="45" customHeight="1">
      <c r="A63" s="11" t="str">
        <f t="shared" si="3"/>
        <v/>
      </c>
      <c r="B63" s="1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 t="str">
        <f t="shared" si="4"/>
        <v/>
      </c>
      <c r="S63" s="11" t="str">
        <f t="shared" si="5"/>
        <v/>
      </c>
      <c r="T63" s="11"/>
      <c r="U63" s="11"/>
      <c r="V63" s="11"/>
      <c r="W63" s="11"/>
      <c r="X63" s="11"/>
      <c r="Y63" s="11"/>
      <c r="Z63" s="14"/>
      <c r="AA63" s="14"/>
      <c r="AB63" s="11"/>
      <c r="AC63" s="11"/>
      <c r="AD63" s="11"/>
      <c r="AE63" s="11"/>
      <c r="AF63" s="11"/>
    </row>
    <row r="64" spans="1:32" ht="45" customHeight="1">
      <c r="A64" s="11" t="str">
        <f t="shared" si="3"/>
        <v/>
      </c>
      <c r="B64" s="1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 t="str">
        <f t="shared" si="4"/>
        <v/>
      </c>
      <c r="S64" s="11" t="str">
        <f t="shared" si="5"/>
        <v/>
      </c>
      <c r="T64" s="11"/>
      <c r="U64" s="11"/>
      <c r="V64" s="11"/>
      <c r="W64" s="11"/>
      <c r="X64" s="11"/>
      <c r="Y64" s="11"/>
      <c r="Z64" s="14"/>
      <c r="AA64" s="14"/>
      <c r="AB64" s="11"/>
      <c r="AC64" s="11"/>
      <c r="AD64" s="11"/>
      <c r="AE64" s="11"/>
      <c r="AF64" s="11"/>
    </row>
    <row r="65" spans="1:32" ht="45" customHeight="1">
      <c r="A65" s="11" t="str">
        <f t="shared" si="3"/>
        <v/>
      </c>
      <c r="B65" s="1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 t="str">
        <f t="shared" si="4"/>
        <v/>
      </c>
      <c r="S65" s="11" t="str">
        <f t="shared" si="5"/>
        <v/>
      </c>
      <c r="T65" s="11"/>
      <c r="U65" s="11"/>
      <c r="V65" s="11"/>
      <c r="W65" s="11"/>
      <c r="X65" s="11"/>
      <c r="Y65" s="11"/>
      <c r="Z65" s="14"/>
      <c r="AA65" s="14"/>
      <c r="AB65" s="11"/>
      <c r="AC65" s="11"/>
      <c r="AD65" s="11"/>
      <c r="AE65" s="11"/>
      <c r="AF65" s="11"/>
    </row>
    <row r="66" spans="1:32" ht="45" customHeight="1">
      <c r="A66" s="11" t="str">
        <f t="shared" si="3"/>
        <v/>
      </c>
      <c r="B66" s="1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 t="str">
        <f t="shared" si="4"/>
        <v/>
      </c>
      <c r="S66" s="11" t="str">
        <f t="shared" si="5"/>
        <v/>
      </c>
      <c r="T66" s="11"/>
      <c r="U66" s="11"/>
      <c r="V66" s="11"/>
      <c r="W66" s="11"/>
      <c r="X66" s="11"/>
      <c r="Y66" s="11"/>
      <c r="Z66" s="14"/>
      <c r="AA66" s="14"/>
      <c r="AB66" s="11"/>
      <c r="AC66" s="11"/>
      <c r="AD66" s="11"/>
      <c r="AE66" s="11"/>
      <c r="AF66" s="11"/>
    </row>
    <row r="67" spans="1:32" ht="45" customHeight="1">
      <c r="A67" s="11" t="str">
        <f t="shared" si="3"/>
        <v/>
      </c>
      <c r="B67" s="14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 t="str">
        <f t="shared" si="4"/>
        <v/>
      </c>
      <c r="S67" s="11" t="str">
        <f t="shared" si="5"/>
        <v/>
      </c>
      <c r="T67" s="11"/>
      <c r="U67" s="11"/>
      <c r="V67" s="11"/>
      <c r="W67" s="11"/>
      <c r="X67" s="11"/>
      <c r="Y67" s="11"/>
      <c r="Z67" s="14"/>
      <c r="AA67" s="14"/>
      <c r="AB67" s="11"/>
      <c r="AC67" s="11"/>
      <c r="AD67" s="11"/>
      <c r="AE67" s="11"/>
      <c r="AF67" s="11"/>
    </row>
    <row r="68" spans="1:32" ht="45" customHeight="1">
      <c r="A68" s="11" t="str">
        <f t="shared" si="3"/>
        <v/>
      </c>
      <c r="B68" s="14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 t="str">
        <f t="shared" si="4"/>
        <v/>
      </c>
      <c r="S68" s="11" t="str">
        <f t="shared" si="5"/>
        <v/>
      </c>
      <c r="T68" s="11"/>
      <c r="U68" s="11"/>
      <c r="V68" s="11"/>
      <c r="W68" s="11"/>
      <c r="X68" s="11"/>
      <c r="Y68" s="11"/>
      <c r="Z68" s="14"/>
      <c r="AA68" s="14"/>
      <c r="AB68" s="11"/>
      <c r="AC68" s="11"/>
      <c r="AD68" s="11"/>
      <c r="AE68" s="11"/>
      <c r="AF68" s="11"/>
    </row>
    <row r="69" spans="1:32" ht="45" customHeight="1">
      <c r="A69" s="11" t="str">
        <f t="shared" si="3"/>
        <v/>
      </c>
      <c r="B69" s="14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 t="str">
        <f t="shared" si="4"/>
        <v/>
      </c>
      <c r="S69" s="11" t="str">
        <f t="shared" si="5"/>
        <v/>
      </c>
      <c r="T69" s="11"/>
      <c r="U69" s="11"/>
      <c r="V69" s="11"/>
      <c r="W69" s="11"/>
      <c r="X69" s="11"/>
      <c r="Y69" s="11"/>
      <c r="Z69" s="14"/>
      <c r="AA69" s="14"/>
      <c r="AB69" s="11"/>
      <c r="AC69" s="11"/>
      <c r="AD69" s="11"/>
      <c r="AE69" s="11"/>
      <c r="AF69" s="11"/>
    </row>
    <row r="70" spans="1:32" ht="45" customHeight="1">
      <c r="A70" s="11" t="str">
        <f t="shared" si="3"/>
        <v/>
      </c>
      <c r="B70" s="14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 t="str">
        <f t="shared" si="4"/>
        <v/>
      </c>
      <c r="S70" s="11" t="str">
        <f t="shared" si="5"/>
        <v/>
      </c>
      <c r="T70" s="11"/>
      <c r="U70" s="11"/>
      <c r="V70" s="11"/>
      <c r="W70" s="11"/>
      <c r="X70" s="11"/>
      <c r="Y70" s="11"/>
      <c r="Z70" s="14"/>
      <c r="AA70" s="14"/>
      <c r="AB70" s="11"/>
      <c r="AC70" s="11"/>
      <c r="AD70" s="11"/>
      <c r="AE70" s="11"/>
      <c r="AF70" s="11"/>
    </row>
    <row r="71" spans="1:32" ht="45" customHeight="1">
      <c r="A71" s="11" t="str">
        <f t="shared" si="3"/>
        <v/>
      </c>
      <c r="B71" s="14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 t="str">
        <f t="shared" si="4"/>
        <v/>
      </c>
      <c r="S71" s="11" t="str">
        <f t="shared" si="5"/>
        <v/>
      </c>
      <c r="T71" s="11"/>
      <c r="U71" s="11"/>
      <c r="V71" s="11"/>
      <c r="W71" s="11"/>
      <c r="X71" s="11"/>
      <c r="Y71" s="11"/>
      <c r="Z71" s="14"/>
      <c r="AA71" s="14"/>
      <c r="AB71" s="11"/>
      <c r="AC71" s="11"/>
      <c r="AD71" s="11"/>
      <c r="AE71" s="11"/>
      <c r="AF71" s="11"/>
    </row>
    <row r="72" spans="1:32" ht="45" customHeight="1">
      <c r="A72" s="11" t="str">
        <f t="shared" si="3"/>
        <v/>
      </c>
      <c r="B72" s="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 t="str">
        <f t="shared" si="4"/>
        <v/>
      </c>
      <c r="S72" s="11" t="str">
        <f t="shared" si="5"/>
        <v/>
      </c>
      <c r="T72" s="11"/>
      <c r="U72" s="11"/>
      <c r="V72" s="11"/>
      <c r="W72" s="11"/>
      <c r="X72" s="11"/>
      <c r="Y72" s="11"/>
      <c r="Z72" s="14"/>
      <c r="AA72" s="14"/>
      <c r="AB72" s="11"/>
      <c r="AC72" s="11"/>
      <c r="AD72" s="11"/>
      <c r="AE72" s="11"/>
      <c r="AF72" s="11"/>
    </row>
    <row r="73" spans="1:32" ht="45" customHeight="1">
      <c r="A73" s="11" t="str">
        <f t="shared" si="3"/>
        <v/>
      </c>
      <c r="B73" s="14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 t="str">
        <f t="shared" si="4"/>
        <v/>
      </c>
      <c r="S73" s="11" t="str">
        <f t="shared" si="5"/>
        <v/>
      </c>
      <c r="T73" s="11"/>
      <c r="U73" s="11"/>
      <c r="V73" s="11"/>
      <c r="W73" s="11"/>
      <c r="X73" s="11"/>
      <c r="Y73" s="11"/>
      <c r="Z73" s="14"/>
      <c r="AA73" s="14"/>
      <c r="AB73" s="11"/>
      <c r="AC73" s="11"/>
      <c r="AD73" s="11"/>
      <c r="AE73" s="11"/>
      <c r="AF73" s="11"/>
    </row>
    <row r="74" spans="1:32" ht="45" customHeight="1">
      <c r="A74" s="11" t="str">
        <f t="shared" si="3"/>
        <v/>
      </c>
      <c r="B74" s="14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 t="str">
        <f t="shared" si="4"/>
        <v/>
      </c>
      <c r="S74" s="11" t="str">
        <f t="shared" si="5"/>
        <v/>
      </c>
      <c r="T74" s="11"/>
      <c r="U74" s="11"/>
      <c r="V74" s="11"/>
      <c r="W74" s="11"/>
      <c r="X74" s="11"/>
      <c r="Y74" s="11"/>
      <c r="Z74" s="14"/>
      <c r="AA74" s="14"/>
      <c r="AB74" s="11"/>
      <c r="AC74" s="11"/>
      <c r="AD74" s="11"/>
      <c r="AE74" s="11"/>
      <c r="AF74" s="11"/>
    </row>
    <row r="75" spans="1:32" ht="45" customHeight="1">
      <c r="A75" s="11" t="str">
        <f t="shared" si="3"/>
        <v/>
      </c>
      <c r="B75" s="14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 t="str">
        <f t="shared" si="4"/>
        <v/>
      </c>
      <c r="S75" s="11" t="str">
        <f t="shared" si="5"/>
        <v/>
      </c>
      <c r="T75" s="11"/>
      <c r="U75" s="11"/>
      <c r="V75" s="11"/>
      <c r="W75" s="11"/>
      <c r="X75" s="11"/>
      <c r="Y75" s="11"/>
      <c r="Z75" s="14"/>
      <c r="AA75" s="14"/>
      <c r="AB75" s="11"/>
      <c r="AC75" s="11"/>
      <c r="AD75" s="11"/>
      <c r="AE75" s="11"/>
      <c r="AF75" s="11"/>
    </row>
    <row r="76" spans="1:32" ht="45" customHeight="1">
      <c r="A76" s="11" t="str">
        <f t="shared" si="3"/>
        <v/>
      </c>
      <c r="B76" s="14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 t="str">
        <f t="shared" si="4"/>
        <v/>
      </c>
      <c r="S76" s="11" t="str">
        <f t="shared" si="5"/>
        <v/>
      </c>
      <c r="T76" s="11"/>
      <c r="U76" s="11"/>
      <c r="V76" s="11"/>
      <c r="W76" s="11"/>
      <c r="X76" s="11"/>
      <c r="Y76" s="11"/>
      <c r="Z76" s="14"/>
      <c r="AA76" s="14"/>
      <c r="AB76" s="11"/>
      <c r="AC76" s="11"/>
      <c r="AD76" s="11"/>
      <c r="AE76" s="11"/>
      <c r="AF76" s="11"/>
    </row>
    <row r="77" spans="1:32" ht="45" customHeight="1">
      <c r="A77" s="11" t="str">
        <f t="shared" ref="A77:A108" si="6">IF(B77="","","SC-"&amp;TEXT(ROW()-12,"000"))</f>
        <v/>
      </c>
      <c r="B77" s="14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 t="str">
        <f t="shared" ref="R77:R108" si="7">IF(OR(P77="",Q77=""),"",P77*Q77)</f>
        <v/>
      </c>
      <c r="S77" s="11" t="str">
        <f t="shared" ref="S77:S108" si="8">IF(R77="","",IF(R77&gt;=17,"Crítico",IF(R77&gt;=10,"Alto",IF(R77&gt;=5,"Medio","Bajo"))))</f>
        <v/>
      </c>
      <c r="T77" s="11"/>
      <c r="U77" s="11"/>
      <c r="V77" s="11"/>
      <c r="W77" s="11"/>
      <c r="X77" s="11"/>
      <c r="Y77" s="11"/>
      <c r="Z77" s="14"/>
      <c r="AA77" s="14"/>
      <c r="AB77" s="11"/>
      <c r="AC77" s="11"/>
      <c r="AD77" s="11"/>
      <c r="AE77" s="11"/>
      <c r="AF77" s="11"/>
    </row>
    <row r="78" spans="1:32" ht="45" customHeight="1">
      <c r="A78" s="11" t="str">
        <f t="shared" si="6"/>
        <v/>
      </c>
      <c r="B78" s="14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 t="str">
        <f t="shared" si="7"/>
        <v/>
      </c>
      <c r="S78" s="11" t="str">
        <f t="shared" si="8"/>
        <v/>
      </c>
      <c r="T78" s="11"/>
      <c r="U78" s="11"/>
      <c r="V78" s="11"/>
      <c r="W78" s="11"/>
      <c r="X78" s="11"/>
      <c r="Y78" s="11"/>
      <c r="Z78" s="14"/>
      <c r="AA78" s="14"/>
      <c r="AB78" s="11"/>
      <c r="AC78" s="11"/>
      <c r="AD78" s="11"/>
      <c r="AE78" s="11"/>
      <c r="AF78" s="11"/>
    </row>
    <row r="79" spans="1:32" ht="45" customHeight="1">
      <c r="A79" s="11" t="str">
        <f t="shared" si="6"/>
        <v/>
      </c>
      <c r="B79" s="14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 t="str">
        <f t="shared" si="7"/>
        <v/>
      </c>
      <c r="S79" s="11" t="str">
        <f t="shared" si="8"/>
        <v/>
      </c>
      <c r="T79" s="11"/>
      <c r="U79" s="11"/>
      <c r="V79" s="11"/>
      <c r="W79" s="11"/>
      <c r="X79" s="11"/>
      <c r="Y79" s="11"/>
      <c r="Z79" s="14"/>
      <c r="AA79" s="14"/>
      <c r="AB79" s="11"/>
      <c r="AC79" s="11"/>
      <c r="AD79" s="11"/>
      <c r="AE79" s="11"/>
      <c r="AF79" s="11"/>
    </row>
    <row r="80" spans="1:32" ht="45" customHeight="1">
      <c r="A80" s="11" t="str">
        <f t="shared" si="6"/>
        <v/>
      </c>
      <c r="B80" s="14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 t="str">
        <f t="shared" si="7"/>
        <v/>
      </c>
      <c r="S80" s="11" t="str">
        <f t="shared" si="8"/>
        <v/>
      </c>
      <c r="T80" s="11"/>
      <c r="U80" s="11"/>
      <c r="V80" s="11"/>
      <c r="W80" s="11"/>
      <c r="X80" s="11"/>
      <c r="Y80" s="11"/>
      <c r="Z80" s="14"/>
      <c r="AA80" s="14"/>
      <c r="AB80" s="11"/>
      <c r="AC80" s="11"/>
      <c r="AD80" s="11"/>
      <c r="AE80" s="11"/>
      <c r="AF80" s="11"/>
    </row>
    <row r="81" spans="1:32" ht="45" customHeight="1">
      <c r="A81" s="11" t="str">
        <f t="shared" si="6"/>
        <v/>
      </c>
      <c r="B81" s="14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 t="str">
        <f t="shared" si="7"/>
        <v/>
      </c>
      <c r="S81" s="11" t="str">
        <f t="shared" si="8"/>
        <v/>
      </c>
      <c r="T81" s="11"/>
      <c r="U81" s="11"/>
      <c r="V81" s="11"/>
      <c r="W81" s="11"/>
      <c r="X81" s="11"/>
      <c r="Y81" s="11"/>
      <c r="Z81" s="14"/>
      <c r="AA81" s="14"/>
      <c r="AB81" s="11"/>
      <c r="AC81" s="11"/>
      <c r="AD81" s="11"/>
      <c r="AE81" s="11"/>
      <c r="AF81" s="11"/>
    </row>
    <row r="82" spans="1:32" ht="45" customHeight="1">
      <c r="A82" s="11" t="str">
        <f t="shared" si="6"/>
        <v/>
      </c>
      <c r="B82" s="14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 t="str">
        <f t="shared" si="7"/>
        <v/>
      </c>
      <c r="S82" s="11" t="str">
        <f t="shared" si="8"/>
        <v/>
      </c>
      <c r="T82" s="11"/>
      <c r="U82" s="11"/>
      <c r="V82" s="11"/>
      <c r="W82" s="11"/>
      <c r="X82" s="11"/>
      <c r="Y82" s="11"/>
      <c r="Z82" s="14"/>
      <c r="AA82" s="14"/>
      <c r="AB82" s="11"/>
      <c r="AC82" s="11"/>
      <c r="AD82" s="11"/>
      <c r="AE82" s="11"/>
      <c r="AF82" s="11"/>
    </row>
    <row r="83" spans="1:32" ht="45" customHeight="1">
      <c r="A83" s="11" t="str">
        <f t="shared" si="6"/>
        <v/>
      </c>
      <c r="B83" s="14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 t="str">
        <f t="shared" si="7"/>
        <v/>
      </c>
      <c r="S83" s="11" t="str">
        <f t="shared" si="8"/>
        <v/>
      </c>
      <c r="T83" s="11"/>
      <c r="U83" s="11"/>
      <c r="V83" s="11"/>
      <c r="W83" s="11"/>
      <c r="X83" s="11"/>
      <c r="Y83" s="11"/>
      <c r="Z83" s="14"/>
      <c r="AA83" s="14"/>
      <c r="AB83" s="11"/>
      <c r="AC83" s="11"/>
      <c r="AD83" s="11"/>
      <c r="AE83" s="11"/>
      <c r="AF83" s="11"/>
    </row>
    <row r="84" spans="1:32" ht="45" customHeight="1">
      <c r="A84" s="11" t="str">
        <f t="shared" si="6"/>
        <v/>
      </c>
      <c r="B84" s="14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 t="str">
        <f t="shared" si="7"/>
        <v/>
      </c>
      <c r="S84" s="11" t="str">
        <f t="shared" si="8"/>
        <v/>
      </c>
      <c r="T84" s="11"/>
      <c r="U84" s="11"/>
      <c r="V84" s="11"/>
      <c r="W84" s="11"/>
      <c r="X84" s="11"/>
      <c r="Y84" s="11"/>
      <c r="Z84" s="14"/>
      <c r="AA84" s="14"/>
      <c r="AB84" s="11"/>
      <c r="AC84" s="11"/>
      <c r="AD84" s="11"/>
      <c r="AE84" s="11"/>
      <c r="AF84" s="11"/>
    </row>
    <row r="85" spans="1:32" ht="45" customHeight="1">
      <c r="A85" s="11" t="str">
        <f t="shared" si="6"/>
        <v/>
      </c>
      <c r="B85" s="14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 t="str">
        <f t="shared" si="7"/>
        <v/>
      </c>
      <c r="S85" s="11" t="str">
        <f t="shared" si="8"/>
        <v/>
      </c>
      <c r="T85" s="11"/>
      <c r="U85" s="11"/>
      <c r="V85" s="11"/>
      <c r="W85" s="11"/>
      <c r="X85" s="11"/>
      <c r="Y85" s="11"/>
      <c r="Z85" s="14"/>
      <c r="AA85" s="14"/>
      <c r="AB85" s="11"/>
      <c r="AC85" s="11"/>
      <c r="AD85" s="11"/>
      <c r="AE85" s="11"/>
      <c r="AF85" s="11"/>
    </row>
    <row r="86" spans="1:32" ht="45" customHeight="1">
      <c r="A86" s="11" t="str">
        <f t="shared" si="6"/>
        <v/>
      </c>
      <c r="B86" s="14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 t="str">
        <f t="shared" si="7"/>
        <v/>
      </c>
      <c r="S86" s="11" t="str">
        <f t="shared" si="8"/>
        <v/>
      </c>
      <c r="T86" s="11"/>
      <c r="U86" s="11"/>
      <c r="V86" s="11"/>
      <c r="W86" s="11"/>
      <c r="X86" s="11"/>
      <c r="Y86" s="11"/>
      <c r="Z86" s="14"/>
      <c r="AA86" s="14"/>
      <c r="AB86" s="11"/>
      <c r="AC86" s="11"/>
      <c r="AD86" s="11"/>
      <c r="AE86" s="11"/>
      <c r="AF86" s="11"/>
    </row>
    <row r="87" spans="1:32" ht="45" customHeight="1">
      <c r="A87" s="11" t="str">
        <f t="shared" si="6"/>
        <v/>
      </c>
      <c r="B87" s="14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 t="str">
        <f t="shared" si="7"/>
        <v/>
      </c>
      <c r="S87" s="11" t="str">
        <f t="shared" si="8"/>
        <v/>
      </c>
      <c r="T87" s="11"/>
      <c r="U87" s="11"/>
      <c r="V87" s="11"/>
      <c r="W87" s="11"/>
      <c r="X87" s="11"/>
      <c r="Y87" s="11"/>
      <c r="Z87" s="14"/>
      <c r="AA87" s="14"/>
      <c r="AB87" s="11"/>
      <c r="AC87" s="11"/>
      <c r="AD87" s="11"/>
      <c r="AE87" s="11"/>
      <c r="AF87" s="11"/>
    </row>
    <row r="88" spans="1:32" ht="45" customHeight="1">
      <c r="A88" s="11" t="str">
        <f t="shared" si="6"/>
        <v/>
      </c>
      <c r="B88" s="14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 t="str">
        <f t="shared" si="7"/>
        <v/>
      </c>
      <c r="S88" s="11" t="str">
        <f t="shared" si="8"/>
        <v/>
      </c>
      <c r="T88" s="11"/>
      <c r="U88" s="11"/>
      <c r="V88" s="11"/>
      <c r="W88" s="11"/>
      <c r="X88" s="11"/>
      <c r="Y88" s="11"/>
      <c r="Z88" s="14"/>
      <c r="AA88" s="14"/>
      <c r="AB88" s="11"/>
      <c r="AC88" s="11"/>
      <c r="AD88" s="11"/>
      <c r="AE88" s="11"/>
      <c r="AF88" s="11"/>
    </row>
    <row r="89" spans="1:32" ht="45" customHeight="1">
      <c r="A89" s="11" t="str">
        <f t="shared" si="6"/>
        <v/>
      </c>
      <c r="B89" s="14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 t="str">
        <f t="shared" si="7"/>
        <v/>
      </c>
      <c r="S89" s="11" t="str">
        <f t="shared" si="8"/>
        <v/>
      </c>
      <c r="T89" s="11"/>
      <c r="U89" s="11"/>
      <c r="V89" s="11"/>
      <c r="W89" s="11"/>
      <c r="X89" s="11"/>
      <c r="Y89" s="11"/>
      <c r="Z89" s="14"/>
      <c r="AA89" s="14"/>
      <c r="AB89" s="11"/>
      <c r="AC89" s="11"/>
      <c r="AD89" s="11"/>
      <c r="AE89" s="11"/>
      <c r="AF89" s="11"/>
    </row>
    <row r="90" spans="1:32" ht="45" customHeight="1">
      <c r="A90" s="11" t="str">
        <f t="shared" si="6"/>
        <v/>
      </c>
      <c r="B90" s="14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 t="str">
        <f t="shared" si="7"/>
        <v/>
      </c>
      <c r="S90" s="11" t="str">
        <f t="shared" si="8"/>
        <v/>
      </c>
      <c r="T90" s="11"/>
      <c r="U90" s="11"/>
      <c r="V90" s="11"/>
      <c r="W90" s="11"/>
      <c r="X90" s="11"/>
      <c r="Y90" s="11"/>
      <c r="Z90" s="14"/>
      <c r="AA90" s="14"/>
      <c r="AB90" s="11"/>
      <c r="AC90" s="11"/>
      <c r="AD90" s="11"/>
      <c r="AE90" s="11"/>
      <c r="AF90" s="11"/>
    </row>
    <row r="91" spans="1:32" ht="45" customHeight="1">
      <c r="A91" s="11" t="str">
        <f t="shared" si="6"/>
        <v/>
      </c>
      <c r="B91" s="14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 t="str">
        <f t="shared" si="7"/>
        <v/>
      </c>
      <c r="S91" s="11" t="str">
        <f t="shared" si="8"/>
        <v/>
      </c>
      <c r="T91" s="11"/>
      <c r="U91" s="11"/>
      <c r="V91" s="11"/>
      <c r="W91" s="11"/>
      <c r="X91" s="11"/>
      <c r="Y91" s="11"/>
      <c r="Z91" s="14"/>
      <c r="AA91" s="14"/>
      <c r="AB91" s="11"/>
      <c r="AC91" s="11"/>
      <c r="AD91" s="11"/>
      <c r="AE91" s="11"/>
      <c r="AF91" s="11"/>
    </row>
    <row r="92" spans="1:32" ht="45" customHeight="1">
      <c r="A92" s="11" t="str">
        <f t="shared" si="6"/>
        <v/>
      </c>
      <c r="B92" s="14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 t="str">
        <f t="shared" si="7"/>
        <v/>
      </c>
      <c r="S92" s="11" t="str">
        <f t="shared" si="8"/>
        <v/>
      </c>
      <c r="T92" s="11"/>
      <c r="U92" s="11"/>
      <c r="V92" s="11"/>
      <c r="W92" s="11"/>
      <c r="X92" s="11"/>
      <c r="Y92" s="11"/>
      <c r="Z92" s="14"/>
      <c r="AA92" s="14"/>
      <c r="AB92" s="11"/>
      <c r="AC92" s="11"/>
      <c r="AD92" s="11"/>
      <c r="AE92" s="11"/>
      <c r="AF92" s="11"/>
    </row>
    <row r="93" spans="1:32" ht="45" customHeight="1">
      <c r="A93" s="11" t="str">
        <f t="shared" si="6"/>
        <v/>
      </c>
      <c r="B93" s="14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 t="str">
        <f t="shared" si="7"/>
        <v/>
      </c>
      <c r="S93" s="11" t="str">
        <f t="shared" si="8"/>
        <v/>
      </c>
      <c r="T93" s="11"/>
      <c r="U93" s="11"/>
      <c r="V93" s="11"/>
      <c r="W93" s="11"/>
      <c r="X93" s="11"/>
      <c r="Y93" s="11"/>
      <c r="Z93" s="14"/>
      <c r="AA93" s="14"/>
      <c r="AB93" s="11"/>
      <c r="AC93" s="11"/>
      <c r="AD93" s="11"/>
      <c r="AE93" s="11"/>
      <c r="AF93" s="11"/>
    </row>
    <row r="94" spans="1:32" ht="45" customHeight="1">
      <c r="A94" s="11" t="str">
        <f t="shared" si="6"/>
        <v/>
      </c>
      <c r="B94" s="14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 t="str">
        <f t="shared" si="7"/>
        <v/>
      </c>
      <c r="S94" s="11" t="str">
        <f t="shared" si="8"/>
        <v/>
      </c>
      <c r="T94" s="11"/>
      <c r="U94" s="11"/>
      <c r="V94" s="11"/>
      <c r="W94" s="11"/>
      <c r="X94" s="11"/>
      <c r="Y94" s="11"/>
      <c r="Z94" s="14"/>
      <c r="AA94" s="14"/>
      <c r="AB94" s="11"/>
      <c r="AC94" s="11"/>
      <c r="AD94" s="11"/>
      <c r="AE94" s="11"/>
      <c r="AF94" s="11"/>
    </row>
    <row r="95" spans="1:32" ht="45" customHeight="1">
      <c r="A95" s="11" t="str">
        <f t="shared" si="6"/>
        <v/>
      </c>
      <c r="B95" s="14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 t="str">
        <f t="shared" si="7"/>
        <v/>
      </c>
      <c r="S95" s="11" t="str">
        <f t="shared" si="8"/>
        <v/>
      </c>
      <c r="T95" s="11"/>
      <c r="U95" s="11"/>
      <c r="V95" s="11"/>
      <c r="W95" s="11"/>
      <c r="X95" s="11"/>
      <c r="Y95" s="11"/>
      <c r="Z95" s="14"/>
      <c r="AA95" s="14"/>
      <c r="AB95" s="11"/>
      <c r="AC95" s="11"/>
      <c r="AD95" s="11"/>
      <c r="AE95" s="11"/>
      <c r="AF95" s="11"/>
    </row>
    <row r="96" spans="1:32" ht="45" customHeight="1">
      <c r="A96" s="11" t="str">
        <f t="shared" si="6"/>
        <v/>
      </c>
      <c r="B96" s="14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 t="str">
        <f t="shared" si="7"/>
        <v/>
      </c>
      <c r="S96" s="11" t="str">
        <f t="shared" si="8"/>
        <v/>
      </c>
      <c r="T96" s="11"/>
      <c r="U96" s="11"/>
      <c r="V96" s="11"/>
      <c r="W96" s="11"/>
      <c r="X96" s="11"/>
      <c r="Y96" s="11"/>
      <c r="Z96" s="14"/>
      <c r="AA96" s="14"/>
      <c r="AB96" s="11"/>
      <c r="AC96" s="11"/>
      <c r="AD96" s="11"/>
      <c r="AE96" s="11"/>
      <c r="AF96" s="11"/>
    </row>
    <row r="97" spans="1:32" ht="45" customHeight="1">
      <c r="A97" s="11" t="str">
        <f t="shared" si="6"/>
        <v/>
      </c>
      <c r="B97" s="14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 t="str">
        <f t="shared" si="7"/>
        <v/>
      </c>
      <c r="S97" s="11" t="str">
        <f t="shared" si="8"/>
        <v/>
      </c>
      <c r="T97" s="11"/>
      <c r="U97" s="11"/>
      <c r="V97" s="11"/>
      <c r="W97" s="11"/>
      <c r="X97" s="11"/>
      <c r="Y97" s="11"/>
      <c r="Z97" s="14"/>
      <c r="AA97" s="14"/>
      <c r="AB97" s="11"/>
      <c r="AC97" s="11"/>
      <c r="AD97" s="11"/>
      <c r="AE97" s="11"/>
      <c r="AF97" s="11"/>
    </row>
    <row r="98" spans="1:32" ht="45" customHeight="1">
      <c r="A98" s="11" t="str">
        <f t="shared" si="6"/>
        <v/>
      </c>
      <c r="B98" s="14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 t="str">
        <f t="shared" si="7"/>
        <v/>
      </c>
      <c r="S98" s="11" t="str">
        <f t="shared" si="8"/>
        <v/>
      </c>
      <c r="T98" s="11"/>
      <c r="U98" s="11"/>
      <c r="V98" s="11"/>
      <c r="W98" s="11"/>
      <c r="X98" s="11"/>
      <c r="Y98" s="11"/>
      <c r="Z98" s="14"/>
      <c r="AA98" s="14"/>
      <c r="AB98" s="11"/>
      <c r="AC98" s="11"/>
      <c r="AD98" s="11"/>
      <c r="AE98" s="11"/>
      <c r="AF98" s="11"/>
    </row>
    <row r="99" spans="1:32" ht="45" customHeight="1">
      <c r="A99" s="11" t="str">
        <f t="shared" si="6"/>
        <v/>
      </c>
      <c r="B99" s="14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 t="str">
        <f t="shared" si="7"/>
        <v/>
      </c>
      <c r="S99" s="11" t="str">
        <f t="shared" si="8"/>
        <v/>
      </c>
      <c r="T99" s="11"/>
      <c r="U99" s="11"/>
      <c r="V99" s="11"/>
      <c r="W99" s="11"/>
      <c r="X99" s="11"/>
      <c r="Y99" s="11"/>
      <c r="Z99" s="14"/>
      <c r="AA99" s="14"/>
      <c r="AB99" s="11"/>
      <c r="AC99" s="11"/>
      <c r="AD99" s="11"/>
      <c r="AE99" s="11"/>
      <c r="AF99" s="11"/>
    </row>
    <row r="100" spans="1:32" ht="45" customHeight="1">
      <c r="A100" s="11" t="str">
        <f t="shared" si="6"/>
        <v/>
      </c>
      <c r="B100" s="14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 t="str">
        <f t="shared" si="7"/>
        <v/>
      </c>
      <c r="S100" s="11" t="str">
        <f t="shared" si="8"/>
        <v/>
      </c>
      <c r="T100" s="11"/>
      <c r="U100" s="11"/>
      <c r="V100" s="11"/>
      <c r="W100" s="11"/>
      <c r="X100" s="11"/>
      <c r="Y100" s="11"/>
      <c r="Z100" s="14"/>
      <c r="AA100" s="14"/>
      <c r="AB100" s="11"/>
      <c r="AC100" s="11"/>
      <c r="AD100" s="11"/>
      <c r="AE100" s="11"/>
      <c r="AF100" s="11"/>
    </row>
    <row r="101" spans="1:32" ht="45" customHeight="1">
      <c r="A101" s="11" t="str">
        <f t="shared" si="6"/>
        <v/>
      </c>
      <c r="B101" s="14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 t="str">
        <f t="shared" si="7"/>
        <v/>
      </c>
      <c r="S101" s="11" t="str">
        <f t="shared" si="8"/>
        <v/>
      </c>
      <c r="T101" s="11"/>
      <c r="U101" s="11"/>
      <c r="V101" s="11"/>
      <c r="W101" s="11"/>
      <c r="X101" s="11"/>
      <c r="Y101" s="11"/>
      <c r="Z101" s="14"/>
      <c r="AA101" s="14"/>
      <c r="AB101" s="11"/>
      <c r="AC101" s="11"/>
      <c r="AD101" s="11"/>
      <c r="AE101" s="11"/>
      <c r="AF101" s="11"/>
    </row>
    <row r="102" spans="1:32" ht="45" customHeight="1">
      <c r="A102" s="11" t="str">
        <f t="shared" si="6"/>
        <v/>
      </c>
      <c r="B102" s="14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 t="str">
        <f t="shared" si="7"/>
        <v/>
      </c>
      <c r="S102" s="11" t="str">
        <f t="shared" si="8"/>
        <v/>
      </c>
      <c r="T102" s="11"/>
      <c r="U102" s="11"/>
      <c r="V102" s="11"/>
      <c r="W102" s="11"/>
      <c r="X102" s="11"/>
      <c r="Y102" s="11"/>
      <c r="Z102" s="14"/>
      <c r="AA102" s="14"/>
      <c r="AB102" s="11"/>
      <c r="AC102" s="11"/>
      <c r="AD102" s="11"/>
      <c r="AE102" s="11"/>
      <c r="AF102" s="11"/>
    </row>
    <row r="103" spans="1:32" ht="45" customHeight="1">
      <c r="A103" s="11" t="str">
        <f t="shared" si="6"/>
        <v/>
      </c>
      <c r="B103" s="14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 t="str">
        <f t="shared" si="7"/>
        <v/>
      </c>
      <c r="S103" s="11" t="str">
        <f t="shared" si="8"/>
        <v/>
      </c>
      <c r="T103" s="11"/>
      <c r="U103" s="11"/>
      <c r="V103" s="11"/>
      <c r="W103" s="11"/>
      <c r="X103" s="11"/>
      <c r="Y103" s="11"/>
      <c r="Z103" s="14"/>
      <c r="AA103" s="14"/>
      <c r="AB103" s="11"/>
      <c r="AC103" s="11"/>
      <c r="AD103" s="11"/>
      <c r="AE103" s="11"/>
      <c r="AF103" s="11"/>
    </row>
    <row r="104" spans="1:32" ht="45" customHeight="1">
      <c r="A104" s="11" t="str">
        <f t="shared" si="6"/>
        <v/>
      </c>
      <c r="B104" s="14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 t="str">
        <f t="shared" si="7"/>
        <v/>
      </c>
      <c r="S104" s="11" t="str">
        <f t="shared" si="8"/>
        <v/>
      </c>
      <c r="T104" s="11"/>
      <c r="U104" s="11"/>
      <c r="V104" s="11"/>
      <c r="W104" s="11"/>
      <c r="X104" s="11"/>
      <c r="Y104" s="11"/>
      <c r="Z104" s="14"/>
      <c r="AA104" s="14"/>
      <c r="AB104" s="11"/>
      <c r="AC104" s="11"/>
      <c r="AD104" s="11"/>
      <c r="AE104" s="11"/>
      <c r="AF104" s="11"/>
    </row>
    <row r="105" spans="1:32" ht="45" customHeight="1">
      <c r="A105" s="11" t="str">
        <f t="shared" si="6"/>
        <v/>
      </c>
      <c r="B105" s="14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 t="str">
        <f t="shared" si="7"/>
        <v/>
      </c>
      <c r="S105" s="11" t="str">
        <f t="shared" si="8"/>
        <v/>
      </c>
      <c r="T105" s="11"/>
      <c r="U105" s="11"/>
      <c r="V105" s="11"/>
      <c r="W105" s="11"/>
      <c r="X105" s="11"/>
      <c r="Y105" s="11"/>
      <c r="Z105" s="14"/>
      <c r="AA105" s="14"/>
      <c r="AB105" s="11"/>
      <c r="AC105" s="11"/>
      <c r="AD105" s="11"/>
      <c r="AE105" s="11"/>
      <c r="AF105" s="11"/>
    </row>
    <row r="106" spans="1:32" ht="45" customHeight="1">
      <c r="A106" s="11" t="str">
        <f t="shared" si="6"/>
        <v/>
      </c>
      <c r="B106" s="14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 t="str">
        <f t="shared" si="7"/>
        <v/>
      </c>
      <c r="S106" s="11" t="str">
        <f t="shared" si="8"/>
        <v/>
      </c>
      <c r="T106" s="11"/>
      <c r="U106" s="11"/>
      <c r="V106" s="11"/>
      <c r="W106" s="11"/>
      <c r="X106" s="11"/>
      <c r="Y106" s="11"/>
      <c r="Z106" s="14"/>
      <c r="AA106" s="14"/>
      <c r="AB106" s="11"/>
      <c r="AC106" s="11"/>
      <c r="AD106" s="11"/>
      <c r="AE106" s="11"/>
      <c r="AF106" s="11"/>
    </row>
    <row r="107" spans="1:32" ht="45" customHeight="1">
      <c r="A107" s="11" t="str">
        <f t="shared" si="6"/>
        <v/>
      </c>
      <c r="B107" s="14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 t="str">
        <f t="shared" si="7"/>
        <v/>
      </c>
      <c r="S107" s="11" t="str">
        <f t="shared" si="8"/>
        <v/>
      </c>
      <c r="T107" s="11"/>
      <c r="U107" s="11"/>
      <c r="V107" s="11"/>
      <c r="W107" s="11"/>
      <c r="X107" s="11"/>
      <c r="Y107" s="11"/>
      <c r="Z107" s="14"/>
      <c r="AA107" s="14"/>
      <c r="AB107" s="11"/>
      <c r="AC107" s="11"/>
      <c r="AD107" s="11"/>
      <c r="AE107" s="11"/>
      <c r="AF107" s="11"/>
    </row>
    <row r="108" spans="1:32" ht="45" customHeight="1">
      <c r="A108" s="11" t="str">
        <f t="shared" si="6"/>
        <v/>
      </c>
      <c r="B108" s="14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 t="str">
        <f t="shared" si="7"/>
        <v/>
      </c>
      <c r="S108" s="11" t="str">
        <f t="shared" si="8"/>
        <v/>
      </c>
      <c r="T108" s="11"/>
      <c r="U108" s="11"/>
      <c r="V108" s="11"/>
      <c r="W108" s="11"/>
      <c r="X108" s="11"/>
      <c r="Y108" s="11"/>
      <c r="Z108" s="14"/>
      <c r="AA108" s="14"/>
      <c r="AB108" s="11"/>
      <c r="AC108" s="11"/>
      <c r="AD108" s="11"/>
      <c r="AE108" s="11"/>
      <c r="AF108" s="11"/>
    </row>
    <row r="109" spans="1:32" ht="45" customHeight="1">
      <c r="A109" s="11" t="str">
        <f t="shared" ref="A109:A140" si="9">IF(B109="","","SC-"&amp;TEXT(ROW()-12,"000"))</f>
        <v/>
      </c>
      <c r="B109" s="14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 t="str">
        <f t="shared" ref="R109:R140" si="10">IF(OR(P109="",Q109=""),"",P109*Q109)</f>
        <v/>
      </c>
      <c r="S109" s="11" t="str">
        <f t="shared" ref="S109:S140" si="11">IF(R109="","",IF(R109&gt;=17,"Crítico",IF(R109&gt;=10,"Alto",IF(R109&gt;=5,"Medio","Bajo"))))</f>
        <v/>
      </c>
      <c r="T109" s="11"/>
      <c r="U109" s="11"/>
      <c r="V109" s="11"/>
      <c r="W109" s="11"/>
      <c r="X109" s="11"/>
      <c r="Y109" s="11"/>
      <c r="Z109" s="14"/>
      <c r="AA109" s="14"/>
      <c r="AB109" s="11"/>
      <c r="AC109" s="11"/>
      <c r="AD109" s="11"/>
      <c r="AE109" s="11"/>
      <c r="AF109" s="11"/>
    </row>
    <row r="110" spans="1:32" ht="45" customHeight="1">
      <c r="A110" s="11" t="str">
        <f t="shared" si="9"/>
        <v/>
      </c>
      <c r="B110" s="14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 t="str">
        <f t="shared" si="10"/>
        <v/>
      </c>
      <c r="S110" s="11" t="str">
        <f t="shared" si="11"/>
        <v/>
      </c>
      <c r="T110" s="11"/>
      <c r="U110" s="11"/>
      <c r="V110" s="11"/>
      <c r="W110" s="11"/>
      <c r="X110" s="11"/>
      <c r="Y110" s="11"/>
      <c r="Z110" s="14"/>
      <c r="AA110" s="14"/>
      <c r="AB110" s="11"/>
      <c r="AC110" s="11"/>
      <c r="AD110" s="11"/>
      <c r="AE110" s="11"/>
      <c r="AF110" s="11"/>
    </row>
    <row r="111" spans="1:32" ht="45" customHeight="1">
      <c r="A111" s="11" t="str">
        <f t="shared" si="9"/>
        <v/>
      </c>
      <c r="B111" s="14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 t="str">
        <f t="shared" si="10"/>
        <v/>
      </c>
      <c r="S111" s="11" t="str">
        <f t="shared" si="11"/>
        <v/>
      </c>
      <c r="T111" s="11"/>
      <c r="U111" s="11"/>
      <c r="V111" s="11"/>
      <c r="W111" s="11"/>
      <c r="X111" s="11"/>
      <c r="Y111" s="11"/>
      <c r="Z111" s="14"/>
      <c r="AA111" s="14"/>
      <c r="AB111" s="11"/>
      <c r="AC111" s="11"/>
      <c r="AD111" s="11"/>
      <c r="AE111" s="11"/>
      <c r="AF111" s="11"/>
    </row>
    <row r="112" spans="1:32" ht="45" customHeight="1">
      <c r="A112" s="12" t="str">
        <f t="shared" si="9"/>
        <v/>
      </c>
      <c r="B112" s="15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 t="str">
        <f t="shared" si="10"/>
        <v/>
      </c>
      <c r="S112" s="12" t="str">
        <f t="shared" si="11"/>
        <v/>
      </c>
      <c r="T112" s="12"/>
      <c r="U112" s="12"/>
      <c r="V112" s="12"/>
      <c r="W112" s="12"/>
      <c r="X112" s="12"/>
      <c r="Y112" s="12"/>
      <c r="Z112" s="15"/>
      <c r="AA112" s="15"/>
      <c r="AB112" s="12"/>
      <c r="AC112" s="12"/>
      <c r="AD112" s="12"/>
      <c r="AE112" s="12"/>
      <c r="AF112" s="12"/>
    </row>
  </sheetData>
  <mergeCells count="32">
    <mergeCell ref="AC8:AF9"/>
    <mergeCell ref="A10:AF10"/>
    <mergeCell ref="A1:A2"/>
    <mergeCell ref="A6:AF6"/>
    <mergeCell ref="A7:C7"/>
    <mergeCell ref="A8:C9"/>
    <mergeCell ref="E7:G7"/>
    <mergeCell ref="E8:G9"/>
    <mergeCell ref="I7:K7"/>
    <mergeCell ref="I8:K9"/>
    <mergeCell ref="M7:O7"/>
    <mergeCell ref="M8:O9"/>
    <mergeCell ref="Q7:S7"/>
    <mergeCell ref="Q8:S9"/>
    <mergeCell ref="U7:W7"/>
    <mergeCell ref="U8:W9"/>
    <mergeCell ref="Y7:AA7"/>
    <mergeCell ref="Y8:AA9"/>
    <mergeCell ref="AC7:AF7"/>
    <mergeCell ref="A4:F4"/>
    <mergeCell ref="G4:L4"/>
    <mergeCell ref="M4:R4"/>
    <mergeCell ref="S4:X4"/>
    <mergeCell ref="Y4:AF4"/>
    <mergeCell ref="C1:AF1"/>
    <mergeCell ref="C2:AF2"/>
    <mergeCell ref="A3:D3"/>
    <mergeCell ref="E3:H3"/>
    <mergeCell ref="I3:L3"/>
    <mergeCell ref="M3:Q3"/>
    <mergeCell ref="R3:V3"/>
    <mergeCell ref="W3:AF3"/>
  </mergeCells>
  <conditionalFormatting sqref="R13:R112">
    <cfRule type="dataBar" priority="10">
      <dataBar>
        <cfvo type="min"/>
        <cfvo type="max"/>
        <color rgb="FFC92351"/>
      </dataBar>
    </cfRule>
    <cfRule type="dataBar" priority="11">
      <dataBar>
        <cfvo type="min"/>
        <cfvo type="max"/>
        <color rgb="FFC92351"/>
      </dataBar>
      <extLst>
        <ext xmlns:x14="http://schemas.microsoft.com/office/spreadsheetml/2009/9/main" uri="{B025F937-C7B1-47D3-B67F-A62EFF666E3E}">
          <x14:id>{37AE5A59-FA99-443A-E468-E5BD78D99CA0}</x14:id>
        </ext>
      </extLst>
    </cfRule>
  </conditionalFormatting>
  <conditionalFormatting sqref="S13:S112">
    <cfRule type="cellIs" dxfId="8" priority="1" operator="equal">
      <formula>"Crítico"</formula>
    </cfRule>
    <cfRule type="cellIs" dxfId="7" priority="2" operator="equal">
      <formula>"Alto"</formula>
    </cfRule>
    <cfRule type="cellIs" dxfId="6" priority="3" operator="equal">
      <formula>"Medio"</formula>
    </cfRule>
    <cfRule type="cellIs" dxfId="5" priority="4" operator="equal">
      <formula>"Bajo"</formula>
    </cfRule>
  </conditionalFormatting>
  <conditionalFormatting sqref="Y13:Y112">
    <cfRule type="cellIs" dxfId="4" priority="5" operator="equal">
      <formula>"Cerrado"</formula>
    </cfRule>
    <cfRule type="cellIs" dxfId="3" priority="6" operator="equal">
      <formula>"Rechazado"</formula>
    </cfRule>
    <cfRule type="cellIs" dxfId="2" priority="7" operator="equal">
      <formula>"En implementación"</formula>
    </cfRule>
    <cfRule type="cellIs" dxfId="1" priority="8" operator="equal">
      <formula>"Pendiente de aprobación"</formula>
    </cfRule>
  </conditionalFormatting>
  <conditionalFormatting sqref="Z13:Z112">
    <cfRule type="expression" dxfId="0" priority="9">
      <formula>AND($Z13&lt;TODAY(),$Z13&lt;&gt;"",$Y13&lt;&gt;"Cerrado",$Y13&lt;&gt;"Cancelado",$Y13&lt;&gt;"Rechazado")</formula>
    </cfRule>
  </conditionalFormatting>
  <dataValidations count="1">
    <dataValidation type="whole" sqref="P13:Q112" xr:uid="{00000000-0002-0000-0100-000009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E5A59-FA99-443A-E468-E5BD78D99CA0}">
            <x14:dataBar>
              <x14:cfvo type="min"/>
              <x14:cfvo type="max"/>
              <x14:negativeFillColor auto="1"/>
              <x14:axisColor auto="1"/>
            </x14:dataBar>
          </x14:cfRule>
          <xm:sqref>R13:R112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100-000000000000}">
          <x14:formula1>
            <xm:f>Catálogos!$A$2:$A$8</xm:f>
          </x14:formula1>
          <xm:sqref>C13:C112</xm:sqref>
        </x14:dataValidation>
        <x14:dataValidation type="list" xr:uid="{00000000-0002-0000-0100-000001000000}">
          <x14:formula1>
            <xm:f>Catálogos!$B$2:$B$8</xm:f>
          </x14:formula1>
          <xm:sqref>D13:D112</xm:sqref>
        </x14:dataValidation>
        <x14:dataValidation type="list" xr:uid="{00000000-0002-0000-0100-000002000000}">
          <x14:formula1>
            <xm:f>Catálogos!$C$2:$C$5</xm:f>
          </x14:formula1>
          <xm:sqref>I13:I112</xm:sqref>
        </x14:dataValidation>
        <x14:dataValidation type="list" xr:uid="{00000000-0002-0000-0100-000003000000}">
          <x14:formula1>
            <xm:f>Catálogos!$D$2:$D$4</xm:f>
          </x14:formula1>
          <xm:sqref>J13:J112</xm:sqref>
        </x14:dataValidation>
        <x14:dataValidation type="list" xr:uid="{00000000-0002-0000-0100-000004000000}">
          <x14:formula1>
            <xm:f>Catálogos!$I$2:$I$5</xm:f>
          </x14:formula1>
          <xm:sqref>K13:O112</xm:sqref>
        </x14:dataValidation>
        <x14:dataValidation type="list" xr:uid="{00000000-0002-0000-0100-00000B000000}">
          <x14:formula1>
            <xm:f>Catálogos!$K$2:$K$8</xm:f>
          </x14:formula1>
          <xm:sqref>AC13:AC112 U13:W112</xm:sqref>
        </x14:dataValidation>
        <x14:dataValidation type="list" xr:uid="{00000000-0002-0000-0100-00000F000000}">
          <x14:formula1>
            <xm:f>Catálogos!$F$2:$F$5</xm:f>
          </x14:formula1>
          <xm:sqref>X13:X112</xm:sqref>
        </x14:dataValidation>
        <x14:dataValidation type="list" xr:uid="{00000000-0002-0000-0100-000010000000}">
          <x14:formula1>
            <xm:f>Catálogos!$G$2:$G$11</xm:f>
          </x14:formula1>
          <xm:sqref>Y13:Y112</xm:sqref>
        </x14:dataValidation>
        <x14:dataValidation type="list" xr:uid="{00000000-0002-0000-0100-000011000000}">
          <x14:formula1>
            <xm:f>Catálogos!$H$2:$H$6</xm:f>
          </x14:formula1>
          <xm:sqref>AB13:AB112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3966"/>
  </sheetPr>
  <dimension ref="A1:L60"/>
  <sheetViews>
    <sheetView showGridLines="0" workbookViewId="0">
      <pane ySplit="5" topLeftCell="A9" activePane="bottomLeft" state="frozen"/>
      <selection pane="bottomLeft" activeCell="C27" sqref="C27:F27"/>
    </sheetView>
  </sheetViews>
  <sheetFormatPr baseColWidth="10" defaultColWidth="8.796875" defaultRowHeight="13.8"/>
  <cols>
    <col min="1" max="12" width="14" customWidth="1"/>
  </cols>
  <sheetData>
    <row r="1" spans="1:12" ht="21">
      <c r="A1" s="77" t="e" vm="1">
        <v>#VALUE!</v>
      </c>
      <c r="B1" s="33" t="s">
        <v>0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17.399999999999999">
      <c r="A2" s="77"/>
      <c r="B2" s="35" t="s">
        <v>146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>
      <c r="A5" s="61" t="s">
        <v>147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24" customHeight="1">
      <c r="A6" s="75" t="s">
        <v>148</v>
      </c>
      <c r="B6" s="75" t="s">
        <v>148</v>
      </c>
      <c r="C6" s="63"/>
      <c r="D6" s="64"/>
      <c r="E6" s="76" t="s">
        <v>118</v>
      </c>
      <c r="F6" s="76" t="s">
        <v>118</v>
      </c>
      <c r="G6" s="63"/>
      <c r="H6" s="64"/>
      <c r="I6" s="75" t="s">
        <v>125</v>
      </c>
      <c r="J6" s="75" t="s">
        <v>125</v>
      </c>
      <c r="K6" s="63"/>
      <c r="L6" s="64"/>
    </row>
    <row r="7" spans="1:12" ht="24" customHeight="1">
      <c r="A7" s="75" t="s">
        <v>10</v>
      </c>
      <c r="B7" s="75" t="s">
        <v>10</v>
      </c>
      <c r="C7" s="63"/>
      <c r="D7" s="65"/>
      <c r="E7" s="65"/>
      <c r="F7" s="64"/>
      <c r="G7" s="75" t="s">
        <v>119</v>
      </c>
      <c r="H7" s="75" t="s">
        <v>119</v>
      </c>
      <c r="I7" s="63"/>
      <c r="J7" s="65"/>
      <c r="K7" s="65"/>
      <c r="L7" s="64"/>
    </row>
    <row r="8" spans="1:12" ht="24" customHeight="1">
      <c r="A8" s="75" t="s">
        <v>149</v>
      </c>
      <c r="B8" s="75" t="s">
        <v>149</v>
      </c>
      <c r="C8" s="63"/>
      <c r="D8" s="65"/>
      <c r="E8" s="65"/>
      <c r="F8" s="65"/>
      <c r="G8" s="65"/>
      <c r="H8" s="65"/>
      <c r="I8" s="65"/>
      <c r="J8" s="65"/>
      <c r="K8" s="65"/>
      <c r="L8" s="64"/>
    </row>
    <row r="9" spans="1:12" ht="28.05" customHeight="1">
      <c r="A9" s="75" t="s">
        <v>65</v>
      </c>
      <c r="B9" s="75" t="s">
        <v>65</v>
      </c>
      <c r="C9" s="66"/>
      <c r="D9" s="67"/>
      <c r="E9" s="67"/>
      <c r="F9" s="67"/>
      <c r="G9" s="67"/>
      <c r="H9" s="67"/>
      <c r="I9" s="67"/>
      <c r="J9" s="67"/>
      <c r="K9" s="67"/>
      <c r="L9" s="68"/>
    </row>
    <row r="10" spans="1:12" ht="28.05" customHeight="1">
      <c r="A10" s="75" t="s">
        <v>65</v>
      </c>
      <c r="B10" s="75" t="s">
        <v>65</v>
      </c>
      <c r="C10" s="69"/>
      <c r="D10" s="70"/>
      <c r="E10" s="70"/>
      <c r="F10" s="70"/>
      <c r="G10" s="70"/>
      <c r="H10" s="70"/>
      <c r="I10" s="70"/>
      <c r="J10" s="70"/>
      <c r="K10" s="70"/>
      <c r="L10" s="71"/>
    </row>
    <row r="11" spans="1:12" ht="28.05" customHeight="1">
      <c r="A11" s="75" t="s">
        <v>65</v>
      </c>
      <c r="B11" s="75" t="s">
        <v>65</v>
      </c>
      <c r="C11" s="72"/>
      <c r="D11" s="73"/>
      <c r="E11" s="73"/>
      <c r="F11" s="73"/>
      <c r="G11" s="73"/>
      <c r="H11" s="73"/>
      <c r="I11" s="73"/>
      <c r="J11" s="73"/>
      <c r="K11" s="73"/>
      <c r="L11" s="74"/>
    </row>
    <row r="12" spans="1:12" ht="28.05" customHeight="1">
      <c r="A12" s="75" t="s">
        <v>150</v>
      </c>
      <c r="B12" s="75" t="s">
        <v>150</v>
      </c>
      <c r="C12" s="66"/>
      <c r="D12" s="67"/>
      <c r="E12" s="67"/>
      <c r="F12" s="67"/>
      <c r="G12" s="67"/>
      <c r="H12" s="67"/>
      <c r="I12" s="67"/>
      <c r="J12" s="67"/>
      <c r="K12" s="67"/>
      <c r="L12" s="68"/>
    </row>
    <row r="13" spans="1:12" ht="28.05" customHeight="1">
      <c r="A13" s="75" t="s">
        <v>150</v>
      </c>
      <c r="B13" s="75" t="s">
        <v>150</v>
      </c>
      <c r="C13" s="69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28.05" customHeight="1">
      <c r="A14" s="75" t="s">
        <v>150</v>
      </c>
      <c r="B14" s="75" t="s">
        <v>150</v>
      </c>
      <c r="C14" s="72"/>
      <c r="D14" s="73"/>
      <c r="E14" s="73"/>
      <c r="F14" s="73"/>
      <c r="G14" s="73"/>
      <c r="H14" s="73"/>
      <c r="I14" s="73"/>
      <c r="J14" s="73"/>
      <c r="K14" s="73"/>
      <c r="L14" s="74"/>
    </row>
    <row r="15" spans="1:12" ht="24" customHeight="1">
      <c r="A15" s="16"/>
      <c r="B15" s="16"/>
      <c r="C15" s="16"/>
      <c r="D15" s="16"/>
      <c r="E15" s="18"/>
      <c r="F15" s="18"/>
      <c r="G15" s="16"/>
      <c r="H15" s="16"/>
      <c r="I15" s="16"/>
      <c r="J15" s="16"/>
      <c r="K15" s="16"/>
      <c r="L15" s="16"/>
    </row>
    <row r="16" spans="1:12" ht="24" customHeight="1">
      <c r="A16" s="61" t="s">
        <v>151</v>
      </c>
      <c r="B16" s="61"/>
      <c r="C16" s="61"/>
      <c r="D16" s="61"/>
      <c r="E16" s="62"/>
      <c r="F16" s="62"/>
      <c r="G16" s="61"/>
      <c r="H16" s="61"/>
      <c r="I16" s="61"/>
      <c r="J16" s="61"/>
      <c r="K16" s="61"/>
      <c r="L16" s="61"/>
    </row>
    <row r="17" spans="1:12" ht="24" customHeight="1">
      <c r="A17" s="75" t="s">
        <v>123</v>
      </c>
      <c r="B17" s="75" t="s">
        <v>123</v>
      </c>
      <c r="C17" s="63"/>
      <c r="D17" s="65"/>
      <c r="E17" s="65"/>
      <c r="F17" s="64"/>
      <c r="G17" s="75" t="s">
        <v>124</v>
      </c>
      <c r="H17" s="75" t="s">
        <v>124</v>
      </c>
      <c r="I17" s="63"/>
      <c r="J17" s="65"/>
      <c r="K17" s="65"/>
      <c r="L17" s="64"/>
    </row>
    <row r="18" spans="1:12" ht="24" customHeight="1">
      <c r="A18" s="75" t="s">
        <v>152</v>
      </c>
      <c r="B18" s="75" t="s">
        <v>152</v>
      </c>
      <c r="C18" s="63"/>
      <c r="D18" s="65"/>
      <c r="E18" s="65"/>
      <c r="F18" s="65"/>
      <c r="G18" s="65"/>
      <c r="H18" s="65"/>
      <c r="I18" s="65"/>
      <c r="J18" s="65"/>
      <c r="K18" s="65"/>
      <c r="L18" s="64"/>
    </row>
    <row r="19" spans="1:12" ht="28.05" customHeight="1">
      <c r="A19" s="75" t="s">
        <v>153</v>
      </c>
      <c r="B19" s="75" t="s">
        <v>153</v>
      </c>
      <c r="C19" s="66"/>
      <c r="D19" s="67"/>
      <c r="E19" s="67"/>
      <c r="F19" s="67"/>
      <c r="G19" s="67"/>
      <c r="H19" s="67"/>
      <c r="I19" s="67"/>
      <c r="J19" s="67"/>
      <c r="K19" s="67"/>
      <c r="L19" s="68"/>
    </row>
    <row r="20" spans="1:12" ht="28.05" customHeight="1">
      <c r="A20" s="75" t="s">
        <v>153</v>
      </c>
      <c r="B20" s="75" t="s">
        <v>153</v>
      </c>
      <c r="C20" s="69"/>
      <c r="D20" s="70"/>
      <c r="E20" s="70"/>
      <c r="F20" s="70"/>
      <c r="G20" s="70"/>
      <c r="H20" s="70"/>
      <c r="I20" s="70"/>
      <c r="J20" s="70"/>
      <c r="K20" s="70"/>
      <c r="L20" s="71"/>
    </row>
    <row r="21" spans="1:12" ht="28.05" customHeight="1">
      <c r="A21" s="75" t="s">
        <v>153</v>
      </c>
      <c r="B21" s="75" t="s">
        <v>153</v>
      </c>
      <c r="C21" s="72"/>
      <c r="D21" s="73"/>
      <c r="E21" s="73"/>
      <c r="F21" s="73"/>
      <c r="G21" s="73"/>
      <c r="H21" s="73"/>
      <c r="I21" s="73"/>
      <c r="J21" s="73"/>
      <c r="K21" s="73"/>
      <c r="L21" s="74"/>
    </row>
    <row r="22" spans="1:12" ht="28.05" customHeight="1">
      <c r="A22" s="75" t="s">
        <v>154</v>
      </c>
      <c r="B22" s="75" t="s">
        <v>154</v>
      </c>
      <c r="C22" s="66"/>
      <c r="D22" s="67"/>
      <c r="E22" s="67"/>
      <c r="F22" s="67"/>
      <c r="G22" s="67"/>
      <c r="H22" s="67"/>
      <c r="I22" s="67"/>
      <c r="J22" s="67"/>
      <c r="K22" s="67"/>
      <c r="L22" s="68"/>
    </row>
    <row r="23" spans="1:12" ht="28.05" customHeight="1">
      <c r="A23" s="75" t="s">
        <v>154</v>
      </c>
      <c r="B23" s="75" t="s">
        <v>154</v>
      </c>
      <c r="C23" s="69"/>
      <c r="D23" s="70"/>
      <c r="E23" s="70"/>
      <c r="F23" s="70"/>
      <c r="G23" s="70"/>
      <c r="H23" s="70"/>
      <c r="I23" s="70"/>
      <c r="J23" s="70"/>
      <c r="K23" s="70"/>
      <c r="L23" s="71"/>
    </row>
    <row r="24" spans="1:12" ht="28.05" customHeight="1">
      <c r="A24" s="75" t="s">
        <v>154</v>
      </c>
      <c r="B24" s="75" t="s">
        <v>154</v>
      </c>
      <c r="C24" s="72"/>
      <c r="D24" s="73"/>
      <c r="E24" s="73"/>
      <c r="F24" s="73"/>
      <c r="G24" s="73"/>
      <c r="H24" s="73"/>
      <c r="I24" s="73"/>
      <c r="J24" s="73"/>
      <c r="K24" s="73"/>
      <c r="L24" s="74"/>
    </row>
    <row r="25" spans="1:12" ht="24" customHeight="1">
      <c r="A25" s="16"/>
      <c r="B25" s="16"/>
      <c r="C25" s="16"/>
      <c r="D25" s="16"/>
      <c r="E25" s="18"/>
      <c r="F25" s="18"/>
      <c r="G25" s="16"/>
      <c r="H25" s="16"/>
      <c r="I25" s="16"/>
      <c r="J25" s="16"/>
      <c r="K25" s="16"/>
      <c r="L25" s="16"/>
    </row>
    <row r="26" spans="1:12" ht="24" customHeight="1">
      <c r="A26" s="61" t="s">
        <v>155</v>
      </c>
      <c r="B26" s="61"/>
      <c r="C26" s="61"/>
      <c r="D26" s="61"/>
      <c r="E26" s="62"/>
      <c r="F26" s="62"/>
      <c r="G26" s="61"/>
      <c r="H26" s="61"/>
      <c r="I26" s="61"/>
      <c r="J26" s="61"/>
      <c r="K26" s="61"/>
      <c r="L26" s="61"/>
    </row>
    <row r="27" spans="1:12" ht="24" customHeight="1">
      <c r="A27" s="75" t="s">
        <v>156</v>
      </c>
      <c r="B27" s="75" t="s">
        <v>156</v>
      </c>
      <c r="C27" s="63"/>
      <c r="D27" s="65"/>
      <c r="E27" s="65"/>
      <c r="F27" s="64"/>
      <c r="G27" s="75" t="s">
        <v>136</v>
      </c>
      <c r="H27" s="75" t="s">
        <v>136</v>
      </c>
      <c r="I27" s="63"/>
      <c r="J27" s="65"/>
      <c r="K27" s="65"/>
      <c r="L27" s="64"/>
    </row>
    <row r="28" spans="1:12" ht="24" customHeight="1">
      <c r="A28" s="75" t="s">
        <v>157</v>
      </c>
      <c r="B28" s="75" t="s">
        <v>157</v>
      </c>
      <c r="C28" s="63"/>
      <c r="D28" s="64"/>
      <c r="E28" s="76" t="s">
        <v>158</v>
      </c>
      <c r="F28" s="76" t="s">
        <v>158</v>
      </c>
      <c r="G28" s="63"/>
      <c r="H28" s="64"/>
      <c r="I28" s="75" t="s">
        <v>159</v>
      </c>
      <c r="J28" s="75" t="s">
        <v>159</v>
      </c>
      <c r="K28" s="63"/>
      <c r="L28" s="64"/>
    </row>
    <row r="29" spans="1:12" ht="24" customHeight="1">
      <c r="A29" s="75" t="s">
        <v>160</v>
      </c>
      <c r="B29" s="75" t="s">
        <v>160</v>
      </c>
      <c r="C29" s="63"/>
      <c r="D29" s="64"/>
      <c r="E29" s="76" t="s">
        <v>161</v>
      </c>
      <c r="F29" s="76" t="s">
        <v>161</v>
      </c>
      <c r="G29" s="63"/>
      <c r="H29" s="64"/>
      <c r="I29" s="75" t="s">
        <v>162</v>
      </c>
      <c r="J29" s="75" t="s">
        <v>162</v>
      </c>
      <c r="K29" s="63"/>
      <c r="L29" s="64"/>
    </row>
    <row r="30" spans="1:12" ht="24" customHeight="1">
      <c r="A30" s="75" t="s">
        <v>163</v>
      </c>
      <c r="B30" s="75" t="s">
        <v>163</v>
      </c>
      <c r="C30" s="63"/>
      <c r="D30" s="64"/>
      <c r="E30" s="76" t="s">
        <v>164</v>
      </c>
      <c r="F30" s="76" t="s">
        <v>164</v>
      </c>
      <c r="G30" s="63"/>
      <c r="H30" s="64"/>
      <c r="I30" s="75" t="s">
        <v>134</v>
      </c>
      <c r="J30" s="75" t="s">
        <v>134</v>
      </c>
      <c r="K30" s="63" t="str">
        <f>IF(OR(C30="",G30=""),"",C30*G30)</f>
        <v/>
      </c>
      <c r="L30" s="64"/>
    </row>
    <row r="31" spans="1:12" ht="28.05" customHeight="1">
      <c r="A31" s="75" t="s">
        <v>165</v>
      </c>
      <c r="B31" s="75" t="s">
        <v>165</v>
      </c>
      <c r="C31" s="66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28.05" customHeight="1">
      <c r="A32" s="75" t="s">
        <v>165</v>
      </c>
      <c r="B32" s="75" t="s">
        <v>165</v>
      </c>
      <c r="C32" s="69"/>
      <c r="D32" s="70"/>
      <c r="E32" s="70"/>
      <c r="F32" s="70"/>
      <c r="G32" s="70"/>
      <c r="H32" s="70"/>
      <c r="I32" s="70"/>
      <c r="J32" s="70"/>
      <c r="K32" s="70"/>
      <c r="L32" s="71"/>
    </row>
    <row r="33" spans="1:12" ht="28.05" customHeight="1">
      <c r="A33" s="75" t="s">
        <v>165</v>
      </c>
      <c r="B33" s="75" t="s">
        <v>165</v>
      </c>
      <c r="C33" s="72"/>
      <c r="D33" s="73"/>
      <c r="E33" s="73"/>
      <c r="F33" s="73"/>
      <c r="G33" s="73"/>
      <c r="H33" s="73"/>
      <c r="I33" s="73"/>
      <c r="J33" s="73"/>
      <c r="K33" s="73"/>
      <c r="L33" s="74"/>
    </row>
    <row r="34" spans="1:12" ht="28.05" customHeight="1">
      <c r="A34" s="75" t="s">
        <v>166</v>
      </c>
      <c r="B34" s="75" t="s">
        <v>166</v>
      </c>
      <c r="C34" s="66"/>
      <c r="D34" s="67"/>
      <c r="E34" s="67"/>
      <c r="F34" s="67"/>
      <c r="G34" s="67"/>
      <c r="H34" s="67"/>
      <c r="I34" s="67"/>
      <c r="J34" s="67"/>
      <c r="K34" s="67"/>
      <c r="L34" s="68"/>
    </row>
    <row r="35" spans="1:12" ht="28.05" customHeight="1">
      <c r="A35" s="75" t="s">
        <v>166</v>
      </c>
      <c r="B35" s="75" t="s">
        <v>166</v>
      </c>
      <c r="C35" s="69"/>
      <c r="D35" s="70"/>
      <c r="E35" s="70"/>
      <c r="F35" s="70"/>
      <c r="G35" s="70"/>
      <c r="H35" s="70"/>
      <c r="I35" s="70"/>
      <c r="J35" s="70"/>
      <c r="K35" s="70"/>
      <c r="L35" s="71"/>
    </row>
    <row r="36" spans="1:12" ht="28.05" customHeight="1">
      <c r="A36" s="75" t="s">
        <v>166</v>
      </c>
      <c r="B36" s="75" t="s">
        <v>166</v>
      </c>
      <c r="C36" s="72"/>
      <c r="D36" s="73"/>
      <c r="E36" s="73"/>
      <c r="F36" s="73"/>
      <c r="G36" s="73"/>
      <c r="H36" s="73"/>
      <c r="I36" s="73"/>
      <c r="J36" s="73"/>
      <c r="K36" s="73"/>
      <c r="L36" s="74"/>
    </row>
    <row r="37" spans="1:12" ht="24" customHeight="1">
      <c r="A37" s="16"/>
      <c r="B37" s="16"/>
      <c r="C37" s="16"/>
      <c r="D37" s="16"/>
      <c r="E37" s="18"/>
      <c r="F37" s="18"/>
      <c r="G37" s="16"/>
      <c r="H37" s="16"/>
      <c r="I37" s="16"/>
      <c r="J37" s="16"/>
      <c r="K37" s="16"/>
      <c r="L37" s="16"/>
    </row>
    <row r="38" spans="1:12" ht="24" customHeight="1">
      <c r="A38" s="61" t="s">
        <v>167</v>
      </c>
      <c r="B38" s="61"/>
      <c r="C38" s="61"/>
      <c r="D38" s="61"/>
      <c r="E38" s="62"/>
      <c r="F38" s="62"/>
      <c r="G38" s="61"/>
      <c r="H38" s="61"/>
      <c r="I38" s="61"/>
      <c r="J38" s="61"/>
      <c r="K38" s="61"/>
      <c r="L38" s="61"/>
    </row>
    <row r="39" spans="1:12" ht="24" customHeight="1">
      <c r="A39" s="75" t="s">
        <v>46</v>
      </c>
      <c r="B39" s="75" t="s">
        <v>46</v>
      </c>
      <c r="C39" s="63"/>
      <c r="D39" s="65"/>
      <c r="E39" s="65"/>
      <c r="F39" s="64"/>
      <c r="G39" s="75" t="s">
        <v>138</v>
      </c>
      <c r="H39" s="75" t="s">
        <v>138</v>
      </c>
      <c r="I39" s="63"/>
      <c r="J39" s="65"/>
      <c r="K39" s="65"/>
      <c r="L39" s="64"/>
    </row>
    <row r="40" spans="1:12" ht="24" customHeight="1">
      <c r="A40" s="75" t="s">
        <v>168</v>
      </c>
      <c r="B40" s="75" t="s">
        <v>168</v>
      </c>
      <c r="C40" s="63"/>
      <c r="D40" s="64"/>
      <c r="E40" s="76" t="s">
        <v>139</v>
      </c>
      <c r="F40" s="76" t="s">
        <v>139</v>
      </c>
      <c r="G40" s="63"/>
      <c r="H40" s="64"/>
      <c r="I40" s="75" t="s">
        <v>169</v>
      </c>
      <c r="J40" s="75" t="s">
        <v>169</v>
      </c>
      <c r="K40" s="63"/>
      <c r="L40" s="64"/>
    </row>
    <row r="41" spans="1:12" ht="28.05" customHeight="1">
      <c r="A41" s="75" t="s">
        <v>170</v>
      </c>
      <c r="B41" s="75" t="s">
        <v>170</v>
      </c>
      <c r="C41" s="66"/>
      <c r="D41" s="67"/>
      <c r="E41" s="67"/>
      <c r="F41" s="67"/>
      <c r="G41" s="67"/>
      <c r="H41" s="67"/>
      <c r="I41" s="67"/>
      <c r="J41" s="67"/>
      <c r="K41" s="67"/>
      <c r="L41" s="68"/>
    </row>
    <row r="42" spans="1:12" ht="28.05" customHeight="1">
      <c r="A42" s="75" t="s">
        <v>170</v>
      </c>
      <c r="B42" s="75" t="s">
        <v>170</v>
      </c>
      <c r="C42" s="69"/>
      <c r="D42" s="70"/>
      <c r="E42" s="70"/>
      <c r="F42" s="70"/>
      <c r="G42" s="70"/>
      <c r="H42" s="70"/>
      <c r="I42" s="70"/>
      <c r="J42" s="70"/>
      <c r="K42" s="70"/>
      <c r="L42" s="71"/>
    </row>
    <row r="43" spans="1:12" ht="28.05" customHeight="1">
      <c r="A43" s="75" t="s">
        <v>170</v>
      </c>
      <c r="B43" s="75" t="s">
        <v>170</v>
      </c>
      <c r="C43" s="72"/>
      <c r="D43" s="73"/>
      <c r="E43" s="73"/>
      <c r="F43" s="73"/>
      <c r="G43" s="73"/>
      <c r="H43" s="73"/>
      <c r="I43" s="73"/>
      <c r="J43" s="73"/>
      <c r="K43" s="73"/>
      <c r="L43" s="74"/>
    </row>
    <row r="44" spans="1:12" ht="28.05" customHeight="1">
      <c r="A44" s="75" t="s">
        <v>171</v>
      </c>
      <c r="B44" s="75" t="s">
        <v>171</v>
      </c>
      <c r="C44" s="66"/>
      <c r="D44" s="67"/>
      <c r="E44" s="67"/>
      <c r="F44" s="67"/>
      <c r="G44" s="67"/>
      <c r="H44" s="67"/>
      <c r="I44" s="67"/>
      <c r="J44" s="67"/>
      <c r="K44" s="67"/>
      <c r="L44" s="68"/>
    </row>
    <row r="45" spans="1:12" ht="28.05" customHeight="1">
      <c r="A45" s="75" t="s">
        <v>171</v>
      </c>
      <c r="B45" s="75" t="s">
        <v>171</v>
      </c>
      <c r="C45" s="69"/>
      <c r="D45" s="70"/>
      <c r="E45" s="70"/>
      <c r="F45" s="70"/>
      <c r="G45" s="70"/>
      <c r="H45" s="70"/>
      <c r="I45" s="70"/>
      <c r="J45" s="70"/>
      <c r="K45" s="70"/>
      <c r="L45" s="71"/>
    </row>
    <row r="46" spans="1:12" ht="28.05" customHeight="1">
      <c r="A46" s="75" t="s">
        <v>171</v>
      </c>
      <c r="B46" s="75" t="s">
        <v>171</v>
      </c>
      <c r="C46" s="72"/>
      <c r="D46" s="73"/>
      <c r="E46" s="73"/>
      <c r="F46" s="73"/>
      <c r="G46" s="73"/>
      <c r="H46" s="73"/>
      <c r="I46" s="73"/>
      <c r="J46" s="73"/>
      <c r="K46" s="73"/>
      <c r="L46" s="74"/>
    </row>
    <row r="47" spans="1:12" ht="24" customHeight="1">
      <c r="A47" s="16"/>
      <c r="B47" s="16"/>
      <c r="C47" s="16"/>
      <c r="D47" s="16"/>
      <c r="E47" s="18"/>
      <c r="F47" s="18"/>
      <c r="G47" s="16"/>
      <c r="H47" s="16"/>
      <c r="I47" s="16"/>
      <c r="J47" s="16"/>
      <c r="K47" s="16"/>
      <c r="L47" s="16"/>
    </row>
    <row r="48" spans="1:12" ht="24" customHeight="1">
      <c r="A48" s="61" t="s">
        <v>172</v>
      </c>
      <c r="B48" s="61"/>
      <c r="C48" s="61"/>
      <c r="D48" s="61"/>
      <c r="E48" s="62"/>
      <c r="F48" s="62"/>
      <c r="G48" s="61"/>
      <c r="H48" s="61"/>
      <c r="I48" s="61"/>
      <c r="J48" s="61"/>
      <c r="K48" s="61"/>
      <c r="L48" s="61"/>
    </row>
    <row r="49" spans="1:12" ht="24" customHeight="1">
      <c r="A49" s="75" t="s">
        <v>173</v>
      </c>
      <c r="B49" s="75" t="s">
        <v>173</v>
      </c>
      <c r="C49" s="63"/>
      <c r="D49" s="65"/>
      <c r="E49" s="65"/>
      <c r="F49" s="64"/>
      <c r="G49" s="75" t="s">
        <v>174</v>
      </c>
      <c r="H49" s="75" t="s">
        <v>174</v>
      </c>
      <c r="I49" s="63"/>
      <c r="J49" s="65"/>
      <c r="K49" s="65"/>
      <c r="L49" s="64"/>
    </row>
    <row r="50" spans="1:12" ht="28.05" customHeight="1">
      <c r="A50" s="75" t="s">
        <v>175</v>
      </c>
      <c r="B50" s="75" t="s">
        <v>175</v>
      </c>
      <c r="C50" s="66"/>
      <c r="D50" s="67"/>
      <c r="E50" s="67"/>
      <c r="F50" s="67"/>
      <c r="G50" s="67"/>
      <c r="H50" s="67"/>
      <c r="I50" s="67"/>
      <c r="J50" s="67"/>
      <c r="K50" s="67"/>
      <c r="L50" s="68"/>
    </row>
    <row r="51" spans="1:12" ht="28.05" customHeight="1">
      <c r="A51" s="75" t="s">
        <v>175</v>
      </c>
      <c r="B51" s="75" t="s">
        <v>175</v>
      </c>
      <c r="C51" s="69"/>
      <c r="D51" s="70"/>
      <c r="E51" s="70"/>
      <c r="F51" s="70"/>
      <c r="G51" s="70"/>
      <c r="H51" s="70"/>
      <c r="I51" s="70"/>
      <c r="J51" s="70"/>
      <c r="K51" s="70"/>
      <c r="L51" s="71"/>
    </row>
    <row r="52" spans="1:12" ht="28.05" customHeight="1">
      <c r="A52" s="75" t="s">
        <v>175</v>
      </c>
      <c r="B52" s="75" t="s">
        <v>175</v>
      </c>
      <c r="C52" s="72"/>
      <c r="D52" s="73"/>
      <c r="E52" s="73"/>
      <c r="F52" s="73"/>
      <c r="G52" s="73"/>
      <c r="H52" s="73"/>
      <c r="I52" s="73"/>
      <c r="J52" s="73"/>
      <c r="K52" s="73"/>
      <c r="L52" s="74"/>
    </row>
    <row r="53" spans="1:12" ht="24" customHeight="1">
      <c r="A53" s="75" t="s">
        <v>142</v>
      </c>
      <c r="B53" s="75" t="s">
        <v>142</v>
      </c>
      <c r="C53" s="63"/>
      <c r="D53" s="65"/>
      <c r="E53" s="65"/>
      <c r="F53" s="64"/>
      <c r="G53" s="75" t="s">
        <v>141</v>
      </c>
      <c r="H53" s="75" t="s">
        <v>141</v>
      </c>
      <c r="I53" s="63"/>
      <c r="J53" s="65"/>
      <c r="K53" s="65"/>
      <c r="L53" s="64"/>
    </row>
    <row r="54" spans="1:12" ht="28.05" customHeight="1">
      <c r="A54" s="75" t="s">
        <v>176</v>
      </c>
      <c r="B54" s="75" t="s">
        <v>176</v>
      </c>
      <c r="C54" s="66"/>
      <c r="D54" s="67"/>
      <c r="E54" s="67"/>
      <c r="F54" s="67"/>
      <c r="G54" s="67"/>
      <c r="H54" s="67"/>
      <c r="I54" s="67"/>
      <c r="J54" s="67"/>
      <c r="K54" s="67"/>
      <c r="L54" s="68"/>
    </row>
    <row r="55" spans="1:12" ht="28.05" customHeight="1">
      <c r="A55" s="75" t="s">
        <v>176</v>
      </c>
      <c r="B55" s="75" t="s">
        <v>176</v>
      </c>
      <c r="C55" s="69"/>
      <c r="D55" s="70"/>
      <c r="E55" s="70"/>
      <c r="F55" s="70"/>
      <c r="G55" s="70"/>
      <c r="H55" s="70"/>
      <c r="I55" s="70"/>
      <c r="J55" s="70"/>
      <c r="K55" s="70"/>
      <c r="L55" s="71"/>
    </row>
    <row r="56" spans="1:12" ht="28.05" customHeight="1">
      <c r="A56" s="75" t="s">
        <v>176</v>
      </c>
      <c r="B56" s="75" t="s">
        <v>176</v>
      </c>
      <c r="C56" s="72"/>
      <c r="D56" s="73"/>
      <c r="E56" s="73"/>
      <c r="F56" s="73"/>
      <c r="G56" s="73"/>
      <c r="H56" s="73"/>
      <c r="I56" s="73"/>
      <c r="J56" s="73"/>
      <c r="K56" s="73"/>
      <c r="L56" s="74"/>
    </row>
    <row r="57" spans="1:12" ht="24" customHeight="1">
      <c r="A57" s="75" t="s">
        <v>144</v>
      </c>
      <c r="B57" s="75" t="s">
        <v>144</v>
      </c>
      <c r="C57" s="63"/>
      <c r="D57" s="64"/>
      <c r="E57" s="76" t="s">
        <v>177</v>
      </c>
      <c r="F57" s="76" t="s">
        <v>177</v>
      </c>
      <c r="G57" s="63"/>
      <c r="H57" s="64"/>
      <c r="I57" s="75" t="s">
        <v>178</v>
      </c>
      <c r="J57" s="75" t="s">
        <v>178</v>
      </c>
      <c r="K57" s="63"/>
      <c r="L57" s="64"/>
    </row>
    <row r="58" spans="1:12" ht="28.05" customHeight="1">
      <c r="A58" s="75" t="s">
        <v>179</v>
      </c>
      <c r="B58" s="75" t="s">
        <v>179</v>
      </c>
      <c r="C58" s="66"/>
      <c r="D58" s="67"/>
      <c r="E58" s="67"/>
      <c r="F58" s="67"/>
      <c r="G58" s="67"/>
      <c r="H58" s="67"/>
      <c r="I58" s="67"/>
      <c r="J58" s="67"/>
      <c r="K58" s="67"/>
      <c r="L58" s="68"/>
    </row>
    <row r="59" spans="1:12" ht="28.05" customHeight="1">
      <c r="A59" s="75" t="s">
        <v>179</v>
      </c>
      <c r="B59" s="75" t="s">
        <v>179</v>
      </c>
      <c r="C59" s="69"/>
      <c r="D59" s="70"/>
      <c r="E59" s="70"/>
      <c r="F59" s="70"/>
      <c r="G59" s="70"/>
      <c r="H59" s="70"/>
      <c r="I59" s="70"/>
      <c r="J59" s="70"/>
      <c r="K59" s="70"/>
      <c r="L59" s="71"/>
    </row>
    <row r="60" spans="1:12" ht="28.05" customHeight="1">
      <c r="A60" s="75" t="s">
        <v>179</v>
      </c>
      <c r="B60" s="75" t="s">
        <v>179</v>
      </c>
      <c r="C60" s="72"/>
      <c r="D60" s="73"/>
      <c r="E60" s="73"/>
      <c r="F60" s="73"/>
      <c r="G60" s="73"/>
      <c r="H60" s="73"/>
      <c r="I60" s="73"/>
      <c r="J60" s="73"/>
      <c r="K60" s="73"/>
      <c r="L60" s="74"/>
    </row>
  </sheetData>
  <mergeCells count="94">
    <mergeCell ref="A53:B53"/>
    <mergeCell ref="G53:H53"/>
    <mergeCell ref="A57:B57"/>
    <mergeCell ref="E57:F57"/>
    <mergeCell ref="I57:J57"/>
    <mergeCell ref="A40:B40"/>
    <mergeCell ref="E40:F40"/>
    <mergeCell ref="I40:J40"/>
    <mergeCell ref="A49:B49"/>
    <mergeCell ref="G49:H49"/>
    <mergeCell ref="A30:B30"/>
    <mergeCell ref="E30:F30"/>
    <mergeCell ref="I30:J30"/>
    <mergeCell ref="A39:B39"/>
    <mergeCell ref="G39:H39"/>
    <mergeCell ref="A28:B28"/>
    <mergeCell ref="E28:F28"/>
    <mergeCell ref="I28:J28"/>
    <mergeCell ref="A29:B29"/>
    <mergeCell ref="E29:F29"/>
    <mergeCell ref="I29:J29"/>
    <mergeCell ref="C58:L60"/>
    <mergeCell ref="A9:B11"/>
    <mergeCell ref="A12:B14"/>
    <mergeCell ref="A19:B21"/>
    <mergeCell ref="A22:B24"/>
    <mergeCell ref="A31:B33"/>
    <mergeCell ref="A34:B36"/>
    <mergeCell ref="A41:B43"/>
    <mergeCell ref="A44:B46"/>
    <mergeCell ref="A50:B52"/>
    <mergeCell ref="A54:B56"/>
    <mergeCell ref="A58:B60"/>
    <mergeCell ref="A17:B17"/>
    <mergeCell ref="G17:H17"/>
    <mergeCell ref="A18:B18"/>
    <mergeCell ref="A27:B27"/>
    <mergeCell ref="C53:F53"/>
    <mergeCell ref="I53:L53"/>
    <mergeCell ref="C54:L56"/>
    <mergeCell ref="C57:D57"/>
    <mergeCell ref="G57:H57"/>
    <mergeCell ref="K57:L57"/>
    <mergeCell ref="C41:L43"/>
    <mergeCell ref="C44:L46"/>
    <mergeCell ref="C49:F49"/>
    <mergeCell ref="I49:L49"/>
    <mergeCell ref="C50:L52"/>
    <mergeCell ref="C39:F39"/>
    <mergeCell ref="I39:L39"/>
    <mergeCell ref="C40:D40"/>
    <mergeCell ref="G40:H40"/>
    <mergeCell ref="K40:L40"/>
    <mergeCell ref="C30:D30"/>
    <mergeCell ref="G30:H30"/>
    <mergeCell ref="K30:L30"/>
    <mergeCell ref="C31:L33"/>
    <mergeCell ref="C34:L36"/>
    <mergeCell ref="I27:L27"/>
    <mergeCell ref="C28:D28"/>
    <mergeCell ref="G28:H28"/>
    <mergeCell ref="K28:L28"/>
    <mergeCell ref="C29:D29"/>
    <mergeCell ref="G29:H29"/>
    <mergeCell ref="K29:L29"/>
    <mergeCell ref="G27:H27"/>
    <mergeCell ref="A38:L38"/>
    <mergeCell ref="A48:L48"/>
    <mergeCell ref="C6:D6"/>
    <mergeCell ref="G6:H6"/>
    <mergeCell ref="K6:L6"/>
    <mergeCell ref="C7:F7"/>
    <mergeCell ref="I7:L7"/>
    <mergeCell ref="C8:L8"/>
    <mergeCell ref="C9:L11"/>
    <mergeCell ref="C12:L14"/>
    <mergeCell ref="C17:F17"/>
    <mergeCell ref="I17:L17"/>
    <mergeCell ref="C18:L18"/>
    <mergeCell ref="C19:L21"/>
    <mergeCell ref="C22:L24"/>
    <mergeCell ref="C27:F27"/>
    <mergeCell ref="B1:L1"/>
    <mergeCell ref="B2:L2"/>
    <mergeCell ref="A5:L5"/>
    <mergeCell ref="A16:L16"/>
    <mergeCell ref="A26:L26"/>
    <mergeCell ref="A6:B6"/>
    <mergeCell ref="E6:F6"/>
    <mergeCell ref="I6:J6"/>
    <mergeCell ref="A7:B7"/>
    <mergeCell ref="G7:H7"/>
    <mergeCell ref="A8:B8"/>
    <mergeCell ref="A1:A2"/>
  </mergeCells>
  <dataValidations count="1">
    <dataValidation type="whole" sqref="C30 G30" xr:uid="{00000000-0002-0000-0200-000008000000}">
      <formula1>1</formula1>
      <formula2>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200-000000000000}">
          <x14:formula1>
            <xm:f>Catálogos!$C$2:$C$5</xm:f>
          </x14:formula1>
          <xm:sqref>K6:L6</xm:sqref>
        </x14:dataValidation>
        <x14:dataValidation type="list" xr:uid="{00000000-0002-0000-0200-000001000000}">
          <x14:formula1>
            <xm:f>Catálogos!$A$2:$A$8</xm:f>
          </x14:formula1>
          <xm:sqref>I7:L7</xm:sqref>
        </x14:dataValidation>
        <x14:dataValidation type="list" xr:uid="{00000000-0002-0000-0200-000002000000}">
          <x14:formula1>
            <xm:f>Catálogos!$I$2:$I$5</xm:f>
          </x14:formula1>
          <xm:sqref>C28:C29 K28:K29 G28:G29</xm:sqref>
        </x14:dataValidation>
        <x14:dataValidation type="list" xr:uid="{00000000-0002-0000-0200-00000A000000}">
          <x14:formula1>
            <xm:f>Catálogos!$F$2:$F$5</xm:f>
          </x14:formula1>
          <xm:sqref>I39:L39</xm:sqref>
        </x14:dataValidation>
        <x14:dataValidation type="list" xr:uid="{00000000-0002-0000-0200-00000B000000}">
          <x14:formula1>
            <xm:f>Catálogos!$H$2:$H$6</xm:f>
          </x14:formula1>
          <xm:sqref>I53:L53</xm:sqref>
        </x14:dataValidation>
        <x14:dataValidation type="list" xr:uid="{00000000-0002-0000-0200-00000C000000}">
          <x14:formula1>
            <xm:f>Catálogos!$G$2:$G$11</xm:f>
          </x14:formula1>
          <xm:sqref>K57:L57</xm:sqref>
        </x14:dataValidation>
        <x14:dataValidation type="list" xr:uid="{00000000-0002-0000-0200-00000D000000}">
          <x14:formula1>
            <xm:f>Catálogos!$K$2:$K$8</xm:f>
          </x14:formula1>
          <xm:sqref>C7:F7 C53:F53 C49:F49 C39:F39 C27:F27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L12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0" width="23" customWidth="1"/>
    <col min="11" max="11" width="31" customWidth="1"/>
    <col min="12" max="12" width="23" customWidth="1"/>
  </cols>
  <sheetData>
    <row r="1" spans="1:12">
      <c r="A1" s="1" t="s">
        <v>180</v>
      </c>
      <c r="B1" s="1" t="s">
        <v>120</v>
      </c>
      <c r="C1" s="1" t="s">
        <v>125</v>
      </c>
      <c r="D1" s="1" t="s">
        <v>126</v>
      </c>
      <c r="E1" s="1" t="s">
        <v>181</v>
      </c>
      <c r="F1" s="1" t="s">
        <v>138</v>
      </c>
      <c r="G1" s="1" t="s">
        <v>42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</row>
    <row r="2" spans="1:12">
      <c r="A2" s="2" t="s">
        <v>187</v>
      </c>
      <c r="B2" s="2" t="s">
        <v>188</v>
      </c>
      <c r="C2" s="2" t="s">
        <v>189</v>
      </c>
      <c r="D2" s="2" t="s">
        <v>190</v>
      </c>
      <c r="E2" s="2" t="s">
        <v>190</v>
      </c>
      <c r="F2" s="2" t="s">
        <v>191</v>
      </c>
      <c r="G2" s="2" t="s">
        <v>192</v>
      </c>
      <c r="H2" s="2" t="s">
        <v>97</v>
      </c>
      <c r="I2" s="2" t="s">
        <v>193</v>
      </c>
      <c r="J2" s="2">
        <v>1</v>
      </c>
      <c r="K2" s="2" t="s">
        <v>74</v>
      </c>
      <c r="L2" s="2" t="s">
        <v>10</v>
      </c>
    </row>
    <row r="3" spans="1:12">
      <c r="A3" s="2" t="s">
        <v>194</v>
      </c>
      <c r="B3" s="2" t="s">
        <v>195</v>
      </c>
      <c r="C3" s="2" t="s">
        <v>196</v>
      </c>
      <c r="D3" s="2" t="s">
        <v>197</v>
      </c>
      <c r="E3" s="2" t="s">
        <v>197</v>
      </c>
      <c r="F3" s="2" t="s">
        <v>198</v>
      </c>
      <c r="G3" s="2" t="s">
        <v>14</v>
      </c>
      <c r="H3" s="2" t="s">
        <v>199</v>
      </c>
      <c r="I3" s="2" t="s">
        <v>200</v>
      </c>
      <c r="J3" s="2">
        <v>2</v>
      </c>
      <c r="K3" s="2" t="s">
        <v>73</v>
      </c>
      <c r="L3" s="2" t="s">
        <v>137</v>
      </c>
    </row>
    <row r="4" spans="1:12">
      <c r="A4" s="2" t="s">
        <v>201</v>
      </c>
      <c r="B4" s="2" t="s">
        <v>202</v>
      </c>
      <c r="C4" s="2" t="s">
        <v>203</v>
      </c>
      <c r="D4" s="2" t="s">
        <v>204</v>
      </c>
      <c r="E4" s="2" t="s">
        <v>204</v>
      </c>
      <c r="F4" s="2" t="s">
        <v>205</v>
      </c>
      <c r="G4" s="2" t="s">
        <v>206</v>
      </c>
      <c r="H4" s="2" t="s">
        <v>207</v>
      </c>
      <c r="I4" s="2" t="s">
        <v>208</v>
      </c>
      <c r="J4" s="2">
        <v>3</v>
      </c>
      <c r="K4" s="2" t="s">
        <v>87</v>
      </c>
      <c r="L4" s="2" t="s">
        <v>46</v>
      </c>
    </row>
    <row r="5" spans="1:12">
      <c r="A5" s="2" t="s">
        <v>209</v>
      </c>
      <c r="B5" s="2" t="s">
        <v>210</v>
      </c>
      <c r="C5" s="2" t="s">
        <v>211</v>
      </c>
      <c r="D5" s="2"/>
      <c r="E5" s="2"/>
      <c r="F5" s="2" t="s">
        <v>212</v>
      </c>
      <c r="G5" s="2" t="s">
        <v>213</v>
      </c>
      <c r="H5" s="2" t="s">
        <v>214</v>
      </c>
      <c r="I5" s="2" t="s">
        <v>215</v>
      </c>
      <c r="J5" s="2">
        <v>4</v>
      </c>
      <c r="K5" s="2" t="s">
        <v>216</v>
      </c>
      <c r="L5" s="2" t="s">
        <v>173</v>
      </c>
    </row>
    <row r="6" spans="1:12">
      <c r="A6" s="2" t="s">
        <v>217</v>
      </c>
      <c r="B6" s="2" t="s">
        <v>218</v>
      </c>
      <c r="C6" s="2"/>
      <c r="D6" s="2"/>
      <c r="E6" s="2"/>
      <c r="F6" s="2"/>
      <c r="G6" s="2" t="s">
        <v>219</v>
      </c>
      <c r="H6" s="2" t="s">
        <v>220</v>
      </c>
      <c r="I6" s="2"/>
      <c r="J6" s="2">
        <v>5</v>
      </c>
      <c r="K6" s="2" t="s">
        <v>221</v>
      </c>
      <c r="L6" s="2" t="s">
        <v>142</v>
      </c>
    </row>
    <row r="7" spans="1:12">
      <c r="A7" s="2" t="s">
        <v>222</v>
      </c>
      <c r="B7" s="2" t="s">
        <v>223</v>
      </c>
      <c r="C7" s="2"/>
      <c r="D7" s="2"/>
      <c r="E7" s="2"/>
      <c r="F7" s="2"/>
      <c r="G7" s="2" t="s">
        <v>224</v>
      </c>
      <c r="H7" s="2"/>
      <c r="I7" s="2"/>
      <c r="J7" s="2"/>
      <c r="K7" s="2" t="s">
        <v>92</v>
      </c>
      <c r="L7" s="2"/>
    </row>
    <row r="8" spans="1:12">
      <c r="A8" s="2" t="s">
        <v>225</v>
      </c>
      <c r="B8" s="2" t="s">
        <v>226</v>
      </c>
      <c r="C8" s="2"/>
      <c r="D8" s="2"/>
      <c r="E8" s="2"/>
      <c r="F8" s="2"/>
      <c r="G8" s="2" t="s">
        <v>32</v>
      </c>
      <c r="H8" s="2"/>
      <c r="I8" s="2"/>
      <c r="J8" s="2"/>
      <c r="K8" s="2" t="s">
        <v>91</v>
      </c>
      <c r="L8" s="2"/>
    </row>
    <row r="9" spans="1:12">
      <c r="A9" s="2"/>
      <c r="B9" s="2"/>
      <c r="C9" s="2"/>
      <c r="D9" s="2"/>
      <c r="E9" s="2"/>
      <c r="F9" s="2"/>
      <c r="G9" s="2" t="s">
        <v>38</v>
      </c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 t="s">
        <v>227</v>
      </c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 t="s">
        <v>228</v>
      </c>
      <c r="H11" s="2"/>
      <c r="I11" s="2"/>
      <c r="J11" s="2"/>
      <c r="K11" s="2"/>
      <c r="L11" s="2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Registro de cambios</vt:lpstr>
      <vt:lpstr>Solicitud de cambio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2026-09-14T22:02:26Z</dcterms:modified>
</cp:coreProperties>
</file>