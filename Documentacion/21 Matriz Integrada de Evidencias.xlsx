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Mendoza\Downloads\"/>
    </mc:Choice>
  </mc:AlternateContent>
  <xr:revisionPtr revIDLastSave="0" documentId="13_ncr:1_{AFEE2E12-8527-42DD-889D-B18B280268E7}" xr6:coauthVersionLast="47" xr6:coauthVersionMax="47" xr10:uidLastSave="{00000000-0000-0000-0000-000000000000}"/>
  <bookViews>
    <workbookView xWindow="28680" yWindow="855" windowWidth="29040" windowHeight="15720" activeTab="2" xr2:uid="{00000000-000D-0000-FFFF-FFFF00000000}"/>
  </bookViews>
  <sheets>
    <sheet name="Resumen" sheetId="1" r:id="rId1"/>
    <sheet name="Matriz de evidencias" sheetId="2" r:id="rId2"/>
    <sheet name="Trazabilidad" sheetId="3" r:id="rId3"/>
    <sheet name="Catálog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2" l="1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H6" i="2" s="1"/>
  <c r="E13" i="2"/>
  <c r="F12" i="2"/>
  <c r="E12" i="2"/>
  <c r="F11" i="2"/>
  <c r="E11" i="2"/>
  <c r="F10" i="2"/>
  <c r="E10" i="2"/>
  <c r="G6" i="2"/>
  <c r="F6" i="2"/>
  <c r="E6" i="2"/>
  <c r="D6" i="2"/>
  <c r="C6" i="2"/>
  <c r="B6" i="2"/>
  <c r="A6" i="2"/>
  <c r="C13" i="1"/>
  <c r="C12" i="1"/>
  <c r="C11" i="1"/>
  <c r="C10" i="1"/>
  <c r="C9" i="1"/>
  <c r="G8" i="1"/>
  <c r="C8" i="1"/>
  <c r="G7" i="1"/>
  <c r="C7" i="1"/>
  <c r="G6" i="1"/>
  <c r="C6" i="1"/>
</calcChain>
</file>

<file path=xl/sharedStrings.xml><?xml version="1.0" encoding="utf-8"?>
<sst xmlns="http://schemas.openxmlformats.org/spreadsheetml/2006/main" count="2179" uniqueCount="890">
  <si>
    <t>BARRIO SOLIDARIO · Matriz integrada de evidencias</t>
  </si>
  <si>
    <t>Consolida la evidencia de calidad y riesgos del MVP y permite rastrear cada criterio o riesgo hasta un paquete verificable.</t>
  </si>
  <si>
    <t>Indicador</t>
  </si>
  <si>
    <t>Resultado</t>
  </si>
  <si>
    <t>Interpretación</t>
  </si>
  <si>
    <t>Estado</t>
  </si>
  <si>
    <t>Cantidad</t>
  </si>
  <si>
    <t>Responsable de consolidación</t>
  </si>
  <si>
    <t>Fecha de corte</t>
  </si>
  <si>
    <t>Estado general</t>
  </si>
  <si>
    <t>Paquetes de evidencia</t>
  </si>
  <si>
    <t>Evidencias agrupadas sin duplicación</t>
  </si>
  <si>
    <t>Verificada</t>
  </si>
  <si>
    <t>Alex Mendoza Morante</t>
  </si>
  <si>
    <t>EN SEGUIMIENTO</t>
  </si>
  <si>
    <t>Verificadas</t>
  </si>
  <si>
    <t>Declaradas verificadas por el equipo; requieren referencia específica y resultado adjunto para auditoría independiente.</t>
  </si>
  <si>
    <t>En proceso</t>
  </si>
  <si>
    <t>Luis Rodríguez Barrera</t>
  </si>
  <si>
    <t>Requieren completar o revalidar</t>
  </si>
  <si>
    <t>Pendiente</t>
  </si>
  <si>
    <t>Pendientes</t>
  </si>
  <si>
    <t>Aún no iniciadas</t>
  </si>
  <si>
    <t>Resultados conformes</t>
  </si>
  <si>
    <t>Resultado satisfactorio</t>
  </si>
  <si>
    <t>Resultados parciales</t>
  </si>
  <si>
    <t>Existe evidencia, pero requiere cierre</t>
  </si>
  <si>
    <t>Criterios de calidad vinculados</t>
  </si>
  <si>
    <t>Cobertura de la matriz DOC-08</t>
  </si>
  <si>
    <t>Riesgos vinculados</t>
  </si>
  <si>
    <t>Cobertura de la matriz DOC-09</t>
  </si>
  <si>
    <t>Flujos Django añadidos</t>
  </si>
  <si>
    <t>Pruebas funcionales nuevas pendientes de adjuntar</t>
  </si>
  <si>
    <t>Criterios de uso</t>
  </si>
  <si>
    <t>1.</t>
  </si>
  <si>
    <t>Una evidencia puede respaldar varios criterios de calidad y riesgos cuando el método, resultado y responsable son coincidentes.</t>
  </si>
  <si>
    <t>2.</t>
  </si>
  <si>
    <t>La hoja Trazabilidad conserva una relación individual para los 64 criterios de calidad, 54 riesgos y 10 flujos Django añadidos.</t>
  </si>
  <si>
    <t>3.</t>
  </si>
  <si>
    <t>Los estados En proceso requieren completar el archivo, enlace o revalidación antes del cierre del Sprint 4, el 04/10/2026.</t>
  </si>
  <si>
    <t>4.</t>
  </si>
  <si>
    <t>No deben adjuntarse datos personales reales, contraseñas, tokens, archivos .env ni capturas que revelen información sensible.</t>
  </si>
  <si>
    <t>5.</t>
  </si>
  <si>
    <t>Los enlaces generales de Jira y GitHub se incluyen como referencia; cada evidencia debe adjuntarse también a su tarea o carpeta específica.</t>
  </si>
  <si>
    <t>Jira</t>
  </si>
  <si>
    <t>https://uees-team-kgpqd887.atlassian.net/jira/software/projects/SCRUM/summary</t>
  </si>
  <si>
    <t>GitHub</t>
  </si>
  <si>
    <t>https://github.com/UESSalexmendoza/Proyecto-Ingenieria-II/tree/main</t>
  </si>
  <si>
    <t>Registro y seguimiento de evidencias del MVP</t>
  </si>
  <si>
    <t>Corte al 01/10/2026 · Cada registro agrupa evidencia reutilizable y su cobertura se calcula desde la hoja Trazabilidad.</t>
  </si>
  <si>
    <t>Total</t>
  </si>
  <si>
    <t>Conformes</t>
  </si>
  <si>
    <t>Parciales</t>
  </si>
  <si>
    <t>Calidad vinculada</t>
  </si>
  <si>
    <t>Código</t>
  </si>
  <si>
    <t>Categoría</t>
  </si>
  <si>
    <t>Evidencia / paquete</t>
  </si>
  <si>
    <t>Descripción y contenido mínimo</t>
  </si>
  <si>
    <t>Criterios calidad</t>
  </si>
  <si>
    <t>Riesgos</t>
  </si>
  <si>
    <t>Tipo</t>
  </si>
  <si>
    <t>Responsable</t>
  </si>
  <si>
    <t>Verificador</t>
  </si>
  <si>
    <t>Prioridad</t>
  </si>
  <si>
    <t>Fecha prevista</t>
  </si>
  <si>
    <t>Fecha revisión</t>
  </si>
  <si>
    <t>Ubicación / referencia</t>
  </si>
  <si>
    <t>Versión / documento</t>
  </si>
  <si>
    <t>Referencia Jira</t>
  </si>
  <si>
    <t>Referencia GitHub</t>
  </si>
  <si>
    <t>Observación / acción siguiente</t>
  </si>
  <si>
    <t>EV-001</t>
  </si>
  <si>
    <t>Alcance</t>
  </si>
  <si>
    <t>Alcance aprobado y control del MVP</t>
  </si>
  <si>
    <t>Documento del MVP, backlog priorizado, exclusiones y solicitudes de cambio que demuestran que el incremento permanece dentro del alcance aprobado.</t>
  </si>
  <si>
    <t>Documento y registro</t>
  </si>
  <si>
    <t>Víctor Tello Bravo</t>
  </si>
  <si>
    <t>Highest</t>
  </si>
  <si>
    <t>Documento de Visión / Jira</t>
  </si>
  <si>
    <t>Conforme</t>
  </si>
  <si>
    <t>1.0</t>
  </si>
  <si>
    <t>Proyecto SCRUM</t>
  </si>
  <si>
    <t>Repositorio principal</t>
  </si>
  <si>
    <t>El alcance del MVP se encuentra delimitado y sujeto al proceso de control de cambios.</t>
  </si>
  <si>
    <t>EV-002</t>
  </si>
  <si>
    <t>Funcionalidad</t>
  </si>
  <si>
    <t>Portal público y navegación</t>
  </si>
  <si>
    <t>Capturas y pruebas de los contenidos públicos, enlaces principales, encabezado, pie de página y acceso a las páginas informativas.</t>
  </si>
  <si>
    <t>Capturas y prueba funcional</t>
  </si>
  <si>
    <t>Mario Luzardo Fierro</t>
  </si>
  <si>
    <t>High</t>
  </si>
  <si>
    <t>Jira / Evidencias/EV-002</t>
  </si>
  <si>
    <t>El recorrido público fue comprobado sin enlaces bloqueantes.</t>
  </si>
  <si>
    <t>EV-003</t>
  </si>
  <si>
    <t>Registro y validación de usuarios</t>
  </si>
  <si>
    <t>Casos válidos, inválidos y duplicados, mensajes mostrados y consulta anonimizada de la cuenta creada en MySQL.</t>
  </si>
  <si>
    <t>Prueba y captura</t>
  </si>
  <si>
    <t>Luis Ramírez Conejo</t>
  </si>
  <si>
    <t>Jira / Evidencias/EV-003</t>
  </si>
  <si>
    <t>El registro persiste datos válidos y rechaza entradas incorrectas o duplicadas.</t>
  </si>
  <si>
    <t>EV-004</t>
  </si>
  <si>
    <t>Seguridad</t>
  </si>
  <si>
    <t>Inicio, cierre de sesión y rutas privadas</t>
  </si>
  <si>
    <t>Pruebas con credenciales válidas e inválidas, cierre de sesión y acceso directo a rutas privadas antes y después de autenticarse.</t>
  </si>
  <si>
    <t>Prueba funcional y seguridad</t>
  </si>
  <si>
    <t>Kevin Carriel Bonoso</t>
  </si>
  <si>
    <t>Jira / Evidencias/EV-004</t>
  </si>
  <si>
    <t>Las sesiones y rutas privadas responden según el estado de autenticación.</t>
  </si>
  <si>
    <t>EV-005</t>
  </si>
  <si>
    <t>Recuperación y cambio de contraseña</t>
  </si>
  <si>
    <t>Correo, enlace, token, caducidad, pantalla de cambio y comprobación de que la clave anterior deja de funcionar.</t>
  </si>
  <si>
    <t>Prueba integral</t>
  </si>
  <si>
    <t>Jira / Evidencias/EV-005</t>
  </si>
  <si>
    <t>Parcial</t>
  </si>
  <si>
    <t>Completar la validación integral de token, caducidad y notificación antes del 03/10/2026.</t>
  </si>
  <si>
    <t>EV-006</t>
  </si>
  <si>
    <t>Roles, permisos y panel autorizado</t>
  </si>
  <si>
    <t>Matriz de permisos y pruebas por rol sobre opciones visibles, rutas protegidas y peticiones directas al servidor.</t>
  </si>
  <si>
    <t>Matriz y pruebas negativas</t>
  </si>
  <si>
    <t>Jira / Evidencias/EV-006</t>
  </si>
  <si>
    <t>Completar todos los roles del MVP y las pruebas de autorización antes del 02/10/2026.</t>
  </si>
  <si>
    <t>EV-007</t>
  </si>
  <si>
    <t>Datos</t>
  </si>
  <si>
    <t>Perfil y persistencia de datos</t>
  </si>
  <si>
    <t>Prueba antes y después de actualizar datos permitidos, validación del usuario autenticado y consulta de persistencia.</t>
  </si>
  <si>
    <t>Prueba y consulta de datos</t>
  </si>
  <si>
    <t>Jira / Evidencias/EV-007</t>
  </si>
  <si>
    <t>Los datos permitidos se actualizan y permanecen asociados al usuario correcto.</t>
  </si>
  <si>
    <t>EV-008</t>
  </si>
  <si>
    <t>Hash y política de contraseñas</t>
  </si>
  <si>
    <t>Consulta anonimizada del hash y pruebas de reglas de complejidad, longitud y rechazo de contraseñas no conformes.</t>
  </si>
  <si>
    <t>Revisión técnica y prueba</t>
  </si>
  <si>
    <t>GitHub / Evidencias/EV-008</t>
  </si>
  <si>
    <t>No se identificaron contraseñas legibles en datos, código ni evidencias.</t>
  </si>
  <si>
    <t>EV-009</t>
  </si>
  <si>
    <t>Validación del servidor y manejo de errores</t>
  </si>
  <si>
    <t>Pruebas directas con entradas inválidas o manipuladas y capturas de mensajes controlados sin trazas ni datos internos.</t>
  </si>
  <si>
    <t>Pruebas negativas</t>
  </si>
  <si>
    <t>Jira / Evidencias/EV-009</t>
  </si>
  <si>
    <t>Las entradas se validan en el servidor y los errores no exponen información sensible.</t>
  </si>
  <si>
    <t>EV-010</t>
  </si>
  <si>
    <t>Configuración, secretos y repositorio</t>
  </si>
  <si>
    <t>Revisión de variables de entorno, settings, archivos ignorados e historial para confirmar que no existen credenciales publicadas.</t>
  </si>
  <si>
    <t>Revisión de código</t>
  </si>
  <si>
    <t>GitHub / Evidencias/EV-010</t>
  </si>
  <si>
    <t>La configuración sensible se mantiene fuera del código versionado.</t>
  </si>
  <si>
    <t>EV-011</t>
  </si>
  <si>
    <t>Privacidad</t>
  </si>
  <si>
    <t>Minimización y anonimización de datos</t>
  </si>
  <si>
    <t>Revisión de formularios, modelo y capturas para comprobar que solo se recopilan datos necesarios y se utilizan datos ficticios.</t>
  </si>
  <si>
    <t>Inspección documental</t>
  </si>
  <si>
    <t>Documentos / Evidencias/EV-011</t>
  </si>
  <si>
    <t>Las evidencias no presentan correos, teléfonos ni claves reales.</t>
  </si>
  <si>
    <t>EV-012</t>
  </si>
  <si>
    <t>Accesibilidad</t>
  </si>
  <si>
    <t>Contraste y comunicación no dependiente del color</t>
  </si>
  <si>
    <t>Mediciones de contraste y capturas de estados, mensajes e iconos que complementan el uso del color.</t>
  </si>
  <si>
    <t>Lista de comprobación</t>
  </si>
  <si>
    <t>Jira / Evidencias/EV-012</t>
  </si>
  <si>
    <t>Los componentes principales cumplen los umbrales definidos.</t>
  </si>
  <si>
    <t>EV-013</t>
  </si>
  <si>
    <t>Teclado, foco y semántica de formularios</t>
  </si>
  <si>
    <t>Recorrido con Tab, Enter y espacio; capturas de foco; etiquetas asociadas y orden lógico de lectura.</t>
  </si>
  <si>
    <t>Prueba manual y HTML</t>
  </si>
  <si>
    <t>Jira / Evidencias/EV-013</t>
  </si>
  <si>
    <t>Finalizar ajustes menores del orden de foco y repetir el recorrido antes del 02/10/2026.</t>
  </si>
  <si>
    <t>EV-014</t>
  </si>
  <si>
    <t>Compatibilidad</t>
  </si>
  <si>
    <t>Zoom, diseño adaptable y navegadores</t>
  </si>
  <si>
    <t>Capturas al 200 %, resoluciones representativas y resultados de los flujos principales en Chrome y Edge.</t>
  </si>
  <si>
    <t>Prueba de compatibilidad</t>
  </si>
  <si>
    <t>Jira / Evidencias/EV-014</t>
  </si>
  <si>
    <t>No se observó desplazamiento horizontal injustificado ni diferencias bloqueantes.</t>
  </si>
  <si>
    <t>EV-015</t>
  </si>
  <si>
    <t>Usabilidad</t>
  </si>
  <si>
    <t>Lenguaje y recorrido para adultos mayores</t>
  </si>
  <si>
    <t>Revisión de textos, mensajes, cantidad de pasos y validación funcional del recorrido con apoyo de cuidador.</t>
  </si>
  <si>
    <t>Revisión funcional</t>
  </si>
  <si>
    <t>Jira / Evidencias/EV-015</t>
  </si>
  <si>
    <t>Ejecutar la validación final del recorrido asistido antes del 03/10/2026.</t>
  </si>
  <si>
    <t>EV-016</t>
  </si>
  <si>
    <t>Identidad visual</t>
  </si>
  <si>
    <t>Paleta, jerarquía y componentes comunes</t>
  </si>
  <si>
    <t>Comparación con la paleta aprobada y capturas de encabezados, botones, tipografía y componentes reutilizados.</t>
  </si>
  <si>
    <t>Inspección visual</t>
  </si>
  <si>
    <t>Jira / Evidencias/EV-016</t>
  </si>
  <si>
    <t>La identidad visual se presenta de forma uniforme en las pantallas principales.</t>
  </si>
  <si>
    <t>EV-017</t>
  </si>
  <si>
    <t>Base de datos, unicidad y respaldo</t>
  </si>
  <si>
    <t>Consultas anonimizadas, restricción única, persistencia tras reinicio y respaldo de los datos de demostración.</t>
  </si>
  <si>
    <t>Consulta y respaldo</t>
  </si>
  <si>
    <t>GitHub / Evidencias/EV-017</t>
  </si>
  <si>
    <t>Los registros permanecen disponibles y la duplicidad de correo está controlada.</t>
  </si>
  <si>
    <t>EV-018</t>
  </si>
  <si>
    <t>Rendimiento</t>
  </si>
  <si>
    <t>Tiempos de respuesta del MVP</t>
  </si>
  <si>
    <t>Registro de carga de páginas y respuesta de registro, inicio de sesión y perfil en ambiente local.</t>
  </si>
  <si>
    <t>Medición técnica</t>
  </si>
  <si>
    <t>Jira / Evidencias/EV-018</t>
  </si>
  <si>
    <t>Las operaciones críticas cumplen los umbrales definidos para pruebas locales.</t>
  </si>
  <si>
    <t>EV-019</t>
  </si>
  <si>
    <t>Arquitectura</t>
  </si>
  <si>
    <t>Estructura, modelo y mantenibilidad</t>
  </si>
  <si>
    <t>Árbol del proyecto, separación de configuración, modelos, rutas y servicios, y comparación con el modelo documentado.</t>
  </si>
  <si>
    <t>Revisión técnica</t>
  </si>
  <si>
    <t>GitHub / Evidencias/EV-019</t>
  </si>
  <si>
    <t>La estructura permite ubicar y mantener los componentes principales del MVP.</t>
  </si>
  <si>
    <t>EV-020</t>
  </si>
  <si>
    <t>Integración</t>
  </si>
  <si>
    <t>Integración frontend y backend</t>
  </si>
  <si>
    <t>Ejecución del flujo principal conectado a rutas, formularios, servicios, sesión y base de datos.</t>
  </si>
  <si>
    <t>Prueba de integración</t>
  </si>
  <si>
    <t>Jira / Evidencias/EV-020</t>
  </si>
  <si>
    <t>Continuar pruebas integrales y corrección de incidencias hasta el 02/10/2026.</t>
  </si>
  <si>
    <t>EV-021</t>
  </si>
  <si>
    <t>Aceptación</t>
  </si>
  <si>
    <t>Criterios de aceptación y recorrido funcional</t>
  </si>
  <si>
    <t>Lista de criterios, validación del Product Owner y guion que conecta problema, alcance, funciones y resultados.</t>
  </si>
  <si>
    <t>Lista y validación</t>
  </si>
  <si>
    <t>Documentos / Evidencias/EV-021</t>
  </si>
  <si>
    <t>Los criterios del MVP se encuentran definidos y asociados al recorrido de demostración.</t>
  </si>
  <si>
    <t>EV-022</t>
  </si>
  <si>
    <t>Calidad</t>
  </si>
  <si>
    <t>Casos de prueba y regresión</t>
  </si>
  <si>
    <t>Casos positivos, negativos, smoke test y regresión de registro, acceso, sesión, panel, perfil y recuperación.</t>
  </si>
  <si>
    <t>Casos y resultados</t>
  </si>
  <si>
    <t>Jira / Evidencias/EV-022</t>
  </si>
  <si>
    <t>Completar escenarios negativos y adjuntar resultados faltantes antes del 03/10/2026.</t>
  </si>
  <si>
    <t>EV-023</t>
  </si>
  <si>
    <t>Defectos y acciones correctivas</t>
  </si>
  <si>
    <t>Incidencias con descripción, prioridad, responsable, evidencia, fecha compromiso, corrección y resultado de revalidación.</t>
  </si>
  <si>
    <t>Registro de defectos</t>
  </si>
  <si>
    <t>Jira / Evidencias/EV-023</t>
  </si>
  <si>
    <t>Los defectos identificados cuentan con responsable y seguimiento.</t>
  </si>
  <si>
    <t>EV-024</t>
  </si>
  <si>
    <t>Gestión</t>
  </si>
  <si>
    <t>Cronograma, asignaciones y seguimiento en Jira</t>
  </si>
  <si>
    <t>Cronograma de los sprints, tareas individuales, prioridades, fechas, estados y conciliación con archivos y commits.</t>
  </si>
  <si>
    <t>Reporte Jira</t>
  </si>
  <si>
    <t>Jira / Evidencias/EV-024</t>
  </si>
  <si>
    <t>Actualizar estados y adjuntos restantes antes del cierre del Sprint 4.</t>
  </si>
  <si>
    <t>EV-025</t>
  </si>
  <si>
    <t>Matriz de gestión de calidad</t>
  </si>
  <si>
    <t>Matriz completa con resultados, valores, fechas, evidencias, observaciones y acciones correctivas.</t>
  </si>
  <si>
    <t>Matriz de control</t>
  </si>
  <si>
    <t>Documento DOC-08</t>
  </si>
  <si>
    <t>La evaluación registra 64 criterios y un estado general aprobado.</t>
  </si>
  <si>
    <t>EV-026</t>
  </si>
  <si>
    <t>Matriz de gestión de riesgos</t>
  </si>
  <si>
    <t>Matriz completa con exposición inicial y residual, tratamiento, evidencia, fecha de revisión y observaciones.</t>
  </si>
  <si>
    <t>Documento DOC-09</t>
  </si>
  <si>
    <t>Los 54 riesgos tienen evaluación residual y estado de seguimiento.</t>
  </si>
  <si>
    <t>EV-027</t>
  </si>
  <si>
    <t>Documentación</t>
  </si>
  <si>
    <t>Documento de Visión y control de versiones</t>
  </si>
  <si>
    <t>Versión consolidada con alcance del MVP, calidad, riesgos, cambios, BPMN, Jira, arquitectura y registro de versiones.</t>
  </si>
  <si>
    <t>Documento revisado</t>
  </si>
  <si>
    <t>Documento de Visión</t>
  </si>
  <si>
    <t>Completar la consolidación y revisión cruzada antes del 03/10/2026.</t>
  </si>
  <si>
    <t>EV-028</t>
  </si>
  <si>
    <t>Trazabilidad</t>
  </si>
  <si>
    <t>Trazabilidad del MVP</t>
  </si>
  <si>
    <t>Relación entre requisito, historia, tarea Jira, pantalla, servicio, prueba y evidencia final.</t>
  </si>
  <si>
    <t>Matriz de trazabilidad</t>
  </si>
  <si>
    <t>Documentos / Evidencias/EV-028</t>
  </si>
  <si>
    <t>Completar vínculos faltantes de pruebas y evidencias antes del 03/10/2026.</t>
  </si>
  <si>
    <t>EV-029</t>
  </si>
  <si>
    <t>Procesos</t>
  </si>
  <si>
    <t>Modelos BPMN vigentes</t>
  </si>
  <si>
    <t>Diagramas del proceso general, registro, acceso, recuperación y comparación con los flujos implementados.</t>
  </si>
  <si>
    <t>BPMN y revisión</t>
  </si>
  <si>
    <t>Documentos / BPMN</t>
  </si>
  <si>
    <t>Los modelos representan el comportamiento aprobado del MVP.</t>
  </si>
  <si>
    <t>EV-030</t>
  </si>
  <si>
    <t>Cambios</t>
  </si>
  <si>
    <t>Plan y registros de control de cambios</t>
  </si>
  <si>
    <t>Formato, análisis de impacto, decisión, responsable, evidencia de implementación y cierre de cambios relevantes.</t>
  </si>
  <si>
    <t>Formato y registro</t>
  </si>
  <si>
    <t>Gestión de cambios</t>
  </si>
  <si>
    <t>Los cambios revisados cuentan con registro y decisión antes de incorporarse.</t>
  </si>
  <si>
    <t>EV-031</t>
  </si>
  <si>
    <t>Entrega</t>
  </si>
  <si>
    <t>Lista y validación de entregables</t>
  </si>
  <si>
    <t>Inventario de archivos, versiones, enlaces, responsables y prueba de apertura previa a la entrega.</t>
  </si>
  <si>
    <t>Lista de verificación</t>
  </si>
  <si>
    <t>Documentos / Entrega final</t>
  </si>
  <si>
    <t>Validar integridad y apertura de todos los archivos finales en la fecha de entrega; conservar acta o lista firmada.</t>
  </si>
  <si>
    <t>EV-032</t>
  </si>
  <si>
    <t>Demostración</t>
  </si>
  <si>
    <t>Ambiente, datos y guion de demostración</t>
  </si>
  <si>
    <t>README de instalación, variables requeridas, datos ficticios, cuentas de prueba, ensayo y respaldo visual de la demostración.</t>
  </si>
  <si>
    <t>Ensayo y guía</t>
  </si>
  <si>
    <t>GitHub / Evidencias/EV-032</t>
  </si>
  <si>
    <t>Ensayar en un equipo alterno y preparar respaldo antes del 03/10/2026.</t>
  </si>
  <si>
    <t>EV-033</t>
  </si>
  <si>
    <t>Registro de eventos y auditoría</t>
  </si>
  <si>
    <t>Logs o tabla de auditoría con fecha, usuario y evento, sin contraseñas ni información sensible.</t>
  </si>
  <si>
    <t>Revisión de logs</t>
  </si>
  <si>
    <t>Jira / Evidencias/EV-033</t>
  </si>
  <si>
    <t>Completar la cobertura de operaciones relevantes antes del 03/10/2026.</t>
  </si>
  <si>
    <t>EV-034</t>
  </si>
  <si>
    <t>Solicitudes</t>
  </si>
  <si>
    <t>Alta y ubicación de solicitudes</t>
  </si>
  <si>
    <t>Formulario, selección de ubicación, validaciones, persistencia y correo al solicitante; casos válidos e inválidos.</t>
  </si>
  <si>
    <t>No aplica</t>
  </si>
  <si>
    <t>1.1</t>
  </si>
  <si>
    <t>EV-035</t>
  </si>
  <si>
    <t>Consulta, edición y cancelación</t>
  </si>
  <si>
    <t>Mis solicitudes, detalle, estados, edición y cancelación; verificar pertenencia y URL inexistente o manipulada.</t>
  </si>
  <si>
    <t>EV-036</t>
  </si>
  <si>
    <t>Voluntariado</t>
  </si>
  <si>
    <t>Panel y postulación de voluntarios</t>
  </si>
  <si>
    <t>Listado elegible, detalle, distancias, postulación, retiro y mensajes; probar permisos y datos persistidos.</t>
  </si>
  <si>
    <t>EV-037</t>
  </si>
  <si>
    <t>Coordinación</t>
  </si>
  <si>
    <t>Revisión y asignación de solicitudes</t>
  </si>
  <si>
    <t>Bandeja, decisiones, postulaciones, asignación, auditoría y avisos; comprobar estados y permisos del coordinador.</t>
  </si>
  <si>
    <t>EV-038</t>
  </si>
  <si>
    <t>Contacto</t>
  </si>
  <si>
    <t>Casos de contacto y actuaciones</t>
  </si>
  <si>
    <t>Registro, acuse de recibo, revisión por administrador o moderador, nota, historial con fecha y actor, y correo de actualización.</t>
  </si>
  <si>
    <t>EV-039</t>
  </si>
  <si>
    <t>Administración</t>
  </si>
  <si>
    <t>Usuarios, roles y catálogos</t>
  </si>
  <si>
    <t>Alta por administrador, correo de activación, asignación y aprobación de roles, gestión de permisos y catálogos; pruebas de acceso directo.</t>
  </si>
  <si>
    <t>EV-040</t>
  </si>
  <si>
    <t>Portal público</t>
  </si>
  <si>
    <t>Instituciones avaladas y carrusel</t>
  </si>
  <si>
    <t>Alta, imagen recortada, enlace y visualización de instituciones; navegación circular con flechas y puntos.</t>
  </si>
  <si>
    <t>EV-041</t>
  </si>
  <si>
    <t>Acceso</t>
  </si>
  <si>
    <t>Activación, correo y acceso social</t>
  </si>
  <si>
    <t>Registro local, reenvío, enlace caducado, confirmación por correo tras login, y Google y Microsoft con cuenta habilitada.</t>
  </si>
  <si>
    <t>EV-042</t>
  </si>
  <si>
    <t>Aceptación de datos personales</t>
  </si>
  <si>
    <t>Primer acceso local y social, enlace público, aceptación expresa, fecha y hora guardadas y bloqueo hasta consentir.</t>
  </si>
  <si>
    <t>Prueba funcional y datos</t>
  </si>
  <si>
    <t>EV-043</t>
  </si>
  <si>
    <t>Opciones de accesibilidad de ambos paneles</t>
  </si>
  <si>
    <t>Comprobar teclado, foco, contraste, lectura en voz, texto ampliado y persistencia en topbar y panel para distintos roles.</t>
  </si>
  <si>
    <t>Trazabilidad entre calidad, riesgos y evidencias</t>
  </si>
  <si>
    <t>Relación individual de los 118 registros de origen con el paquete de evidencia que permite verificarlos.</t>
  </si>
  <si>
    <t>Código origen</t>
  </si>
  <si>
    <t>Fuente</t>
  </si>
  <si>
    <t>Criterio o riesgo</t>
  </si>
  <si>
    <t>Indicador / alerta</t>
  </si>
  <si>
    <t>Código evidencia</t>
  </si>
  <si>
    <t>Resultado / estado</t>
  </si>
  <si>
    <t>Evidencia registrada</t>
  </si>
  <si>
    <t>Observación</t>
  </si>
  <si>
    <t>CAL-001</t>
  </si>
  <si>
    <t>Matriz de calidad</t>
  </si>
  <si>
    <t>Se visualizan propósito, funcionamiento, usuarios, beneficios y contacto.</t>
  </si>
  <si>
    <t>Cumple</t>
  </si>
  <si>
    <t>Capturas del portal y revisión funcional del contenido publicado.</t>
  </si>
  <si>
    <t>El criterio fue verificado y no se identificaron desviaciones relevantes.</t>
  </si>
  <si>
    <t>CAL-002</t>
  </si>
  <si>
    <t>Navegación pública</t>
  </si>
  <si>
    <t>El 100 % de enlaces principales funciona.</t>
  </si>
  <si>
    <t>Prueba de enlaces principales y capturas de navegación.</t>
  </si>
  <si>
    <t>CAL-003</t>
  </si>
  <si>
    <t>Registro de usuarios</t>
  </si>
  <si>
    <t>La cuenta se almacena cuando los datos son válidos.</t>
  </si>
  <si>
    <t>Registro de cuenta, consulta en MySQL y captura de confirmación.</t>
  </si>
  <si>
    <t>CAL-004</t>
  </si>
  <si>
    <t>Validación de registro</t>
  </si>
  <si>
    <t>Los campos obligatorios y formatos inválidos generan mensajes.</t>
  </si>
  <si>
    <t>Pruebas con campos vacíos, formatos inválidos y mensajes mostrados.</t>
  </si>
  <si>
    <t>CAL-005</t>
  </si>
  <si>
    <t>Correo único</t>
  </si>
  <si>
    <t>El sistema rechaza un correo previamente registrado.</t>
  </si>
  <si>
    <t>Prueba de duplicidad con un correo previamente registrado.</t>
  </si>
  <si>
    <t>CAL-006</t>
  </si>
  <si>
    <t>Inicio de sesión</t>
  </si>
  <si>
    <t>Se crea una sesión y se permite acceder al panel.</t>
  </si>
  <si>
    <t>Caso de prueba con credenciales válidas y captura de la sesión iniciada.</t>
  </si>
  <si>
    <t>CAL-007</t>
  </si>
  <si>
    <t>Credenciales incorrectas</t>
  </si>
  <si>
    <t>No se crea una sesión y se muestra un mensaje comprensible.</t>
  </si>
  <si>
    <t>Prueba negativa con contraseña incorrecta y mensaje controlado.</t>
  </si>
  <si>
    <t>CAL-008</t>
  </si>
  <si>
    <t>Cierre de sesión</t>
  </si>
  <si>
    <t>El panel queda inaccesible después de cerrar sesión.</t>
  </si>
  <si>
    <t>Prueba de cierre y acceso directo posterior a una ruta privada.</t>
  </si>
  <si>
    <t>CAL-009</t>
  </si>
  <si>
    <t>Recuperación de contraseña</t>
  </si>
  <si>
    <t>El sistema procesa un correo registrado y presenta confirmación.</t>
  </si>
  <si>
    <t>Cumple parcialmente</t>
  </si>
  <si>
    <t>Correo de recuperación, enlace generado y pantalla de confirmación.</t>
  </si>
  <si>
    <t>Validación integral pendiente según el paquete de evidencia vinculado.</t>
  </si>
  <si>
    <t>CAL-010</t>
  </si>
  <si>
    <t>Cambio de contraseña</t>
  </si>
  <si>
    <t>La nueva clave funciona y la anterior queda invalidada.</t>
  </si>
  <si>
    <t>Prueba de actualización, limpieza del formulario y nuevo acceso.</t>
  </si>
  <si>
    <t>CAL-011</t>
  </si>
  <si>
    <t>Panel principal</t>
  </si>
  <si>
    <t>Se muestran nombre, rol y opciones autorizadas.</t>
  </si>
  <si>
    <t>Captura del panel con usuario autenticado y opciones habilitadas.</t>
  </si>
  <si>
    <t>CAL-012</t>
  </si>
  <si>
    <t>Perfil básico</t>
  </si>
  <si>
    <t>Los cambios válidos se almacenan correctamente.</t>
  </si>
  <si>
    <t>Prueba de consulta y actualización de datos permitidos.</t>
  </si>
  <si>
    <t>CAL-013</t>
  </si>
  <si>
    <t>Contraseñas almacenadas</t>
  </si>
  <si>
    <t>La base de datos conserva únicamente el hash.</t>
  </si>
  <si>
    <t>Consulta anonimizada de MySQL y revisión del hash de contraseña.</t>
  </si>
  <si>
    <t>CAL-014</t>
  </si>
  <si>
    <t>Política de contraseñas</t>
  </si>
  <si>
    <t>Se rechazan contraseñas que no cumplen las reglas definidas.</t>
  </si>
  <si>
    <t>Pruebas de complejidad con claves válidas e inválidas.</t>
  </si>
  <si>
    <t>CAL-015</t>
  </si>
  <si>
    <t>Sesiones</t>
  </si>
  <si>
    <t>Un visitante es redirigido al login.</t>
  </si>
  <si>
    <t>Acceso directo a rutas privadas con y sin autenticación.</t>
  </si>
  <si>
    <t>CAL-016</t>
  </si>
  <si>
    <t>Roles y permisos</t>
  </si>
  <si>
    <t>Se deniegan las opciones que no corresponden al usuario.</t>
  </si>
  <si>
    <t>Pruebas con cuentas de distintos perfiles y revisión de rutas protegidas.</t>
  </si>
  <si>
    <t>El control básico funciona; falta completar la matriz de permisos para todos los roles proyectados.</t>
  </si>
  <si>
    <t>CAL-017</t>
  </si>
  <si>
    <t>Validación en servidor</t>
  </si>
  <si>
    <t>Modificar el HTML no permite omitir las validaciones.</t>
  </si>
  <si>
    <t>Prueba de envío directo de datos inválidos al servidor.</t>
  </si>
  <si>
    <t>CAL-018</t>
  </si>
  <si>
    <t>Mensajes de error</t>
  </si>
  <si>
    <t>No se muestran consultas, contraseñas, rutas internas o trazas.</t>
  </si>
  <si>
    <t>Capturas de errores controlados sin rutas internas ni trazas.</t>
  </si>
  <si>
    <t>CAL-019</t>
  </si>
  <si>
    <t>Datos personales</t>
  </si>
  <si>
    <t>No se recopila información ajena al registro, acceso y perfil.</t>
  </si>
  <si>
    <t>Revisión de formularios, perfil y modelo de datos del MVP.</t>
  </si>
  <si>
    <t>CAL-020</t>
  </si>
  <si>
    <t>Registro de eventos</t>
  </si>
  <si>
    <t>El registro contiene fecha, usuario y evento sin contraseñas.</t>
  </si>
  <si>
    <t>Low</t>
  </si>
  <si>
    <t>Revisión de logs de autenticación y operaciones principales.</t>
  </si>
  <si>
    <t>Se registran eventos técnicos, pero la auditoría funcional todavía no cubre todas las operaciones relevantes.</t>
  </si>
  <si>
    <t>CAL-021</t>
  </si>
  <si>
    <t>Configuración sensible</t>
  </si>
  <si>
    <t>Se utilizan variables de entorno o configuración protegida.</t>
  </si>
  <si>
    <t>Revisión de variables de entorno, settings y repositorio Git.</t>
  </si>
  <si>
    <t>CAL-022</t>
  </si>
  <si>
    <t>Contraste</t>
  </si>
  <si>
    <t>Mínimo 4.5:1 para texto normal y 3:1 para texto grande.</t>
  </si>
  <si>
    <t>Medición de contraste y capturas de las pantallas principales.</t>
  </si>
  <si>
    <t>CAL-023</t>
  </si>
  <si>
    <t>Navegación por teclado</t>
  </si>
  <si>
    <t>Se accede mediante Tab, Enter y barra espaciadora.</t>
  </si>
  <si>
    <t>Lista de comprobación con Tab, Enter y barra espaciadora.</t>
  </si>
  <si>
    <t>CAL-024</t>
  </si>
  <si>
    <t>Foco visible</t>
  </si>
  <si>
    <t>Todos los controles interactivos muestran foco visible.</t>
  </si>
  <si>
    <t>Capturas de controles enfocados durante la navegación por teclado.</t>
  </si>
  <si>
    <t>CAL-025</t>
  </si>
  <si>
    <t>Etiquetas de formularios</t>
  </si>
  <si>
    <t>El 100 % de campos utiliza etiquetas vinculadas.</t>
  </si>
  <si>
    <t>Revisión del HTML y asociación de etiquetas con controles.</t>
  </si>
  <si>
    <t>CAL-026</t>
  </si>
  <si>
    <t>Mensajes de validación</t>
  </si>
  <si>
    <t>El mensaje identifica el campo y la acción requerida.</t>
  </si>
  <si>
    <t>Pruebas con datos inválidos y revisión de mensajes por campo.</t>
  </si>
  <si>
    <t>CAL-027</t>
  </si>
  <si>
    <t>Uso del color</t>
  </si>
  <si>
    <t>Estados y errores también utilizan texto o símbolos.</t>
  </si>
  <si>
    <t>Revisión de estados, alertas, textos e iconos complementarios.</t>
  </si>
  <si>
    <t>CAL-028</t>
  </si>
  <si>
    <t>Ampliación de contenido</t>
  </si>
  <si>
    <t>No se pierde información ni funcionalidad principal.</t>
  </si>
  <si>
    <t>Prueba de las pantallas principales con zoom del 200 %.</t>
  </si>
  <si>
    <t>CAL-029</t>
  </si>
  <si>
    <t>Orden de lectura</t>
  </si>
  <si>
    <t>Encabezados, campos y acciones mantienen orden comprensible.</t>
  </si>
  <si>
    <t>Inspección del HTML y recorrido secuencial mediante teclado.</t>
  </si>
  <si>
    <t>CAL-030</t>
  </si>
  <si>
    <t>Tamaño de controles</t>
  </si>
  <si>
    <t>Los controles tienen tamaño y separación adecuados.</t>
  </si>
  <si>
    <t>Inspección de botones y enlaces en resoluciones de escritorio y móvil.</t>
  </si>
  <si>
    <t>CAL-031</t>
  </si>
  <si>
    <t>Lenguaje comprensible</t>
  </si>
  <si>
    <t>No existen mensajes técnicos innecesarios o ambiguos.</t>
  </si>
  <si>
    <t>Revisión funcional de textos, instrucciones y mensajes.</t>
  </si>
  <si>
    <t>CAL-032</t>
  </si>
  <si>
    <t>Acompañamiento</t>
  </si>
  <si>
    <t>El diseño no obliga al adulto mayor a gestionar solo el sistema.</t>
  </si>
  <si>
    <t>Revisión de requisitos y pantallas orientadas al apoyo de un cuidador.</t>
  </si>
  <si>
    <t>CAL-033</t>
  </si>
  <si>
    <t>Azul institucional</t>
  </si>
  <si>
    <t>El color se aplica consistentemente.</t>
  </si>
  <si>
    <t>Revisión de variables CSS y capturas de encabezados y navegación.</t>
  </si>
  <si>
    <t>CAL-034</t>
  </si>
  <si>
    <t>Magenta de acción</t>
  </si>
  <si>
    <t>El magenta destaca botones principales sin saturar la interfaz.</t>
  </si>
  <si>
    <t>Revisión visual de botones principales y variables CSS.</t>
  </si>
  <si>
    <t>CAL-035</t>
  </si>
  <si>
    <t>Fondo blanco</t>
  </si>
  <si>
    <t>El contenido mantiene claridad y legibilidad.</t>
  </si>
  <si>
    <t>Inspección de las áreas principales de lectura.</t>
  </si>
  <si>
    <t>CAL-036</t>
  </si>
  <si>
    <t>Gris claro</t>
  </si>
  <si>
    <t>Las tarjetas y campos se distinguen correctamente.</t>
  </si>
  <si>
    <t>Revisión de fondos secundarios, tarjetas y campos.</t>
  </si>
  <si>
    <t>CAL-037</t>
  </si>
  <si>
    <t>Texto principal</t>
  </si>
  <si>
    <t>El texto mantiene contraste sobre fondos claros.</t>
  </si>
  <si>
    <t>Medición de contraste del texto sobre fondos claros.</t>
  </si>
  <si>
    <t>CAL-038</t>
  </si>
  <si>
    <t>Tipografía</t>
  </si>
  <si>
    <t>La misma familia se mantiene en todas las pantallas.</t>
  </si>
  <si>
    <t>Revisión de la familia tipográfica configurada en CSS.</t>
  </si>
  <si>
    <t>CAL-039</t>
  </si>
  <si>
    <t>Jerarquía tipográfica</t>
  </si>
  <si>
    <t>Los tamaños y pesos mantienen jerarquía uniforme.</t>
  </si>
  <si>
    <t>Comparación de títulos, subtítulos, cuerpo y etiquetas.</t>
  </si>
  <si>
    <t>CAL-040</t>
  </si>
  <si>
    <t>Encabezado</t>
  </si>
  <si>
    <t>El componente mantiene logotipo, navegación y acciones.</t>
  </si>
  <si>
    <t>Comparación del componente común en las pantallas principales.</t>
  </si>
  <si>
    <t>CAL-041</t>
  </si>
  <si>
    <t>Botones</t>
  </si>
  <si>
    <t>Existe una acción principal claramente identificable.</t>
  </si>
  <si>
    <t>Inspección de acciones principales y secundarias.</t>
  </si>
  <si>
    <t>CAL-042</t>
  </si>
  <si>
    <t>Consistencia</t>
  </si>
  <si>
    <t>No existen diferencias visuales sin justificación.</t>
  </si>
  <si>
    <t>Lista de comprobación visual y capturas comparativas.</t>
  </si>
  <si>
    <t>CAL-043</t>
  </si>
  <si>
    <t>Carga de páginas</t>
  </si>
  <si>
    <t>Tiempo máximo de 3 segundos en el ambiente de prueba.</t>
  </si>
  <si>
    <t>Medición en el navegador durante la ejecución local.</t>
  </si>
  <si>
    <t>CAL-044</t>
  </si>
  <si>
    <t>Respuesta de servicios</t>
  </si>
  <si>
    <t>Registro, login y perfil responden en máximo 2 segundos localmente.</t>
  </si>
  <si>
    <t>Registro de tiempos de registro, acceso y perfil.</t>
  </si>
  <si>
    <t>CAL-045</t>
  </si>
  <si>
    <t>Confiabilidad</t>
  </si>
  <si>
    <t>Manejo de errores</t>
  </si>
  <si>
    <t>El sistema mantiene la operación y presenta un mensaje controlado.</t>
  </si>
  <si>
    <t>Pruebas negativas con entradas inválidas y revisión de continuidad.</t>
  </si>
  <si>
    <t>CAL-046</t>
  </si>
  <si>
    <t>Persistencia</t>
  </si>
  <si>
    <t>Los registros guardados pueden consultarse nuevamente.</t>
  </si>
  <si>
    <t>Reinicio de la aplicación y consulta posterior de los registros.</t>
  </si>
  <si>
    <t>CAL-047</t>
  </si>
  <si>
    <t>Navegadores</t>
  </si>
  <si>
    <t>Los flujos principales se completan en ambos navegadores.</t>
  </si>
  <si>
    <t>Pruebas de los flujos principales en Chrome y Edge.</t>
  </si>
  <si>
    <t>CAL-048</t>
  </si>
  <si>
    <t>Diseño adaptable</t>
  </si>
  <si>
    <t>No existen superposiciones ni desplazamiento horizontal injustificado.</t>
  </si>
  <si>
    <t>Capturas en resoluciones de escritorio, tableta y móvil.</t>
  </si>
  <si>
    <t>CAL-049</t>
  </si>
  <si>
    <t>Mantenibilidad</t>
  </si>
  <si>
    <t>Estructura Python</t>
  </si>
  <si>
    <t>La estructura corresponde con la arquitectura aprobada.</t>
  </si>
  <si>
    <t>Árbol de carpetas y revisión de la arquitectura Django.</t>
  </si>
  <si>
    <t>CAL-050</t>
  </si>
  <si>
    <t>Métodos y servicios</t>
  </si>
  <si>
    <t>La lógica no se concentra en una sola ruta o archivo.</t>
  </si>
  <si>
    <t>Revisión de vistas, formularios, servicios y responsabilidades.</t>
  </si>
  <si>
    <t>CAL-051</t>
  </si>
  <si>
    <t>Convenciones de código</t>
  </si>
  <si>
    <t>El código sigue una convención uniforme.</t>
  </si>
  <si>
    <t>Lista de comprobación de nombres y estructura del código.</t>
  </si>
  <si>
    <t>CAL-052</t>
  </si>
  <si>
    <t>Código duplicado</t>
  </si>
  <si>
    <t>No existen bloques relevantes duplicados.</t>
  </si>
  <si>
    <t>Revisión de componentes, plantillas y funciones reutilizadas.</t>
  </si>
  <si>
    <t>CAL-053</t>
  </si>
  <si>
    <t>Documentación técnica</t>
  </si>
  <si>
    <t>Registro, login, perfil y recuperación están documentados.</t>
  </si>
  <si>
    <t>Revisión del README, vistas, formularios y servicios principales.</t>
  </si>
  <si>
    <t>Los flujos principales están documentados; algunos métodos requieren completar su descripción técnica.</t>
  </si>
  <si>
    <t>CAL-054</t>
  </si>
  <si>
    <t>Ejecución reproducible</t>
  </si>
  <si>
    <t>El README contiene instalación, configuración y ejecución.</t>
  </si>
  <si>
    <t>Prueba de instalación con README, requirements y variables de entorno.</t>
  </si>
  <si>
    <t>CAL-055</t>
  </si>
  <si>
    <t>Control de versiones</t>
  </si>
  <si>
    <t>Los cambios poseen commits identificables y no incluyen credenciales.</t>
  </si>
  <si>
    <t>Repositorio GitHub e historial de commits identificables.</t>
  </si>
  <si>
    <t>CAL-056</t>
  </si>
  <si>
    <t>Planificación en Jira</t>
  </si>
  <si>
    <t>El 100 % tiene responsable, fechas y prioridad.</t>
  </si>
  <si>
    <t>Captura del cronograma, épicas, actividades, responsables y prioridades.</t>
  </si>
  <si>
    <t>CAL-057</t>
  </si>
  <si>
    <t>Evidencias</t>
  </si>
  <si>
    <t>Las tareas terminadas poseen archivo, captura, código o resultado.</t>
  </si>
  <si>
    <t>Revisión de adjuntos, enlaces, capturas y commits registrados en Jira.</t>
  </si>
  <si>
    <t>La mayoría de tareas tiene evidencia; quedan actividades cerradas pendientes de adjuntar su respaldo final.</t>
  </si>
  <si>
    <t>CAL-058</t>
  </si>
  <si>
    <t>Cada función del MVP posee implementación y evidencia de prueba.</t>
  </si>
  <si>
    <t>Matriz de trazabilidad, historias de usuario, pantallas, código y casos de prueba.</t>
  </si>
  <si>
    <t>La trazabilidad del MVP está definida; faltan algunos enlaces finales entre pruebas y evidencias.</t>
  </si>
  <si>
    <t>CAL-059</t>
  </si>
  <si>
    <t>Todas las secciones solicitadas están incluidas y numeradas.</t>
  </si>
  <si>
    <t>Documento de Visión revisado con secciones numeradas y anexos.</t>
  </si>
  <si>
    <t>CAL-060</t>
  </si>
  <si>
    <t>Control documental</t>
  </si>
  <si>
    <t>La versión vigente puede identificarse claramente.</t>
  </si>
  <si>
    <t>Tabla de control de versiones y versión vigente identificada.</t>
  </si>
  <si>
    <t>CAL-061</t>
  </si>
  <si>
    <t>Los cambios relevantes poseen solicitud y decisión.</t>
  </si>
  <si>
    <t>Formato, plan de control y registro de solicitudes de cambio.</t>
  </si>
  <si>
    <t>CAL-062</t>
  </si>
  <si>
    <t>Gestión de defectos</t>
  </si>
  <si>
    <t>Cada defecto tiene descripción, evidencia, prioridad y responsable.</t>
  </si>
  <si>
    <t>Incidencias de Jira con prioridad, responsable, estado y evidencia.</t>
  </si>
  <si>
    <t>CAL-063</t>
  </si>
  <si>
    <t>Diagramas BPMN</t>
  </si>
  <si>
    <t>Los diagramas son legibles y coherentes con requisitos y pantallas.</t>
  </si>
  <si>
    <t>Archivos BPMN y gráficos comparados con requisitos y pantallas.</t>
  </si>
  <si>
    <t>CAL-064</t>
  </si>
  <si>
    <t>Alcance del MVP</t>
  </si>
  <si>
    <t>No se anteponen funciones futuras a registro, acceso y panel principal.</t>
  </si>
  <si>
    <t>Comparación entre Documento del MVP, backlog y versión implementada.</t>
  </si>
  <si>
    <t>RIE-001</t>
  </si>
  <si>
    <t>Matriz de riesgos</t>
  </si>
  <si>
    <t>Crecimiento no controlado del alcance</t>
  </si>
  <si>
    <t>Solicitud de funciones fuera del MVP</t>
  </si>
  <si>
    <t>Controlado</t>
  </si>
  <si>
    <t>Backlog del MVP, criterios de exclusión y registro de cambios revisados.</t>
  </si>
  <si>
    <t>El alcance se mantuvo en el MVP aprobado y cualquier ampliación quedó sujeta al control de cambios.</t>
  </si>
  <si>
    <t>RIE-002</t>
  </si>
  <si>
    <t>Límites ambiguos del MVP</t>
  </si>
  <si>
    <t>Dudas repetidas sobre qué desarrollar</t>
  </si>
  <si>
    <t>El control preventivo fue aplicado y no se observó materialización; se mantiene monitoreo hasta la entrega.</t>
  </si>
  <si>
    <t>RIE-003</t>
  </si>
  <si>
    <t>Rechazo académico del entregable</t>
  </si>
  <si>
    <t>Criterios sin evidencia o sección faltante</t>
  </si>
  <si>
    <t>Lista de verificación, criterios de aceptación y evidencia de revisión funcional.</t>
  </si>
  <si>
    <t>RIE-004</t>
  </si>
  <si>
    <t>Criterios de aceptación incompletos</t>
  </si>
  <si>
    <t>Historias listas para iniciar sin criterios</t>
  </si>
  <si>
    <t>RIE-005</t>
  </si>
  <si>
    <t>Demostración poco clara</t>
  </si>
  <si>
    <t>Demo sin orden o responsables</t>
  </si>
  <si>
    <t>RIE-006</t>
  </si>
  <si>
    <t>Falla en el registro de usuarios</t>
  </si>
  <si>
    <t>Registro devuelve error o no guarda</t>
  </si>
  <si>
    <t>Casos de prueba del flujo, capturas del resultado y evidencia registrada en Jira.</t>
  </si>
  <si>
    <t>RIE-007</t>
  </si>
  <si>
    <t>Falla en el inicio de sesión</t>
  </si>
  <si>
    <t>Credenciales válidas son rechazadas</t>
  </si>
  <si>
    <t>Las credenciales válidas permiten acceso y los errores se presentan de forma controlada.</t>
  </si>
  <si>
    <t>RIE-008</t>
  </si>
  <si>
    <t>Cierre de sesión incompleto</t>
  </si>
  <si>
    <t>Panel accesible después de cerrar sesión</t>
  </si>
  <si>
    <t>RIE-009</t>
  </si>
  <si>
    <t>Recuperación de contraseña incompleta</t>
  </si>
  <si>
    <t>Solicitud sin confirmación o cambio efectivo</t>
  </si>
  <si>
    <t>En tratamiento</t>
  </si>
  <si>
    <t>El flujo está integrado parcialmente; falta validar token, caducidad y notificación de extremo a extremo.</t>
  </si>
  <si>
    <t>RIE-010</t>
  </si>
  <si>
    <t>Panel incorrecto según el rol</t>
  </si>
  <si>
    <t>Menú no coincide con el rol</t>
  </si>
  <si>
    <t>Se mantiene seguimiento hasta completar la prueba de permisos para todos los roles del MVP.</t>
  </si>
  <si>
    <t>RIE-011</t>
  </si>
  <si>
    <t>Actualización incorrecta del perfil</t>
  </si>
  <si>
    <t>Cambios no guardados o datos alterados</t>
  </si>
  <si>
    <t>RIE-012</t>
  </si>
  <si>
    <t>Contraseñas almacenadas en texto plano</t>
  </si>
  <si>
    <t>Contraseñas legibles en datos o logs</t>
  </si>
  <si>
    <t>Cerrado</t>
  </si>
  <si>
    <t>Pruebas negativas, revisión de rutas y configuración segura del repositorio.</t>
  </si>
  <si>
    <t>No se detectó el indicador de alerta después de aplicar el control; el riesgo se cierra con evidencia disponible.</t>
  </si>
  <si>
    <t>RIE-013</t>
  </si>
  <si>
    <t>Acceso sin autenticación</t>
  </si>
  <si>
    <t>Página privada visible sin login</t>
  </si>
  <si>
    <t>Las rutas privadas rechazaron accesos directos sin sesión durante la verificación.</t>
  </si>
  <si>
    <t>RIE-014</t>
  </si>
  <si>
    <t>Escalada de privilegios</t>
  </si>
  <si>
    <t>Petición manual aceptada para rol no autorizado</t>
  </si>
  <si>
    <t>La validación del servidor está en revisión para acciones sensibles y acceso por URL directa.</t>
  </si>
  <si>
    <t>RIE-015</t>
  </si>
  <si>
    <t>Inyección o manipulación de entradas</t>
  </si>
  <si>
    <t>Entradas especiales causan errores o cambios</t>
  </si>
  <si>
    <t>RIE-016</t>
  </si>
  <si>
    <t>Errores revelan información sensible</t>
  </si>
  <si>
    <t>Pantalla muestra traceback o datos internos</t>
  </si>
  <si>
    <t>Las respuestas visibles no muestran trazas, consultas ni configuración interna.</t>
  </si>
  <si>
    <t>RIE-017</t>
  </si>
  <si>
    <t>Credenciales publicadas en Git</t>
  </si>
  <si>
    <t>Token, contraseña o archivo .env en commit</t>
  </si>
  <si>
    <t>RIE-018</t>
  </si>
  <si>
    <t>Recolección excesiva de datos</t>
  </si>
  <si>
    <t>Campo sin finalidad documentada</t>
  </si>
  <si>
    <t>Formularios revisados y evidencias anonimizadas con datos ficticios.</t>
  </si>
  <si>
    <t>RIE-019</t>
  </si>
  <si>
    <t>Evidencias con datos personales</t>
  </si>
  <si>
    <t>Nombre, correo o teléfono real en evidencia</t>
  </si>
  <si>
    <t>RIE-020</t>
  </si>
  <si>
    <t>Contraste insuficiente</t>
  </si>
  <si>
    <t>Herramienta de contraste reporta incumplimiento</t>
  </si>
  <si>
    <t>Lista de comprobación de accesibilidad y capturas de navegación y contraste.</t>
  </si>
  <si>
    <t>Los componentes principales cumplen el contraste definido o fueron ajustados.</t>
  </si>
  <si>
    <t>RIE-021</t>
  </si>
  <si>
    <t>Navegación por teclado incompleta</t>
  </si>
  <si>
    <t>Control inaccesible con Tab o Enter</t>
  </si>
  <si>
    <t>Persisten ajustes menores de orden de foco en formularios y componentes interactivos.</t>
  </si>
  <si>
    <t>RIE-022</t>
  </si>
  <si>
    <t>Campos sin etiquetas comprensibles</t>
  </si>
  <si>
    <t>Campo sin label asociado</t>
  </si>
  <si>
    <t>RIE-023</t>
  </si>
  <si>
    <t>Foco visual no visible</t>
  </si>
  <si>
    <t>No se distingue el elemento activo</t>
  </si>
  <si>
    <t>RIE-024</t>
  </si>
  <si>
    <t>Información comunicada solo con color</t>
  </si>
  <si>
    <t>Estado solo distinguible por color</t>
  </si>
  <si>
    <t>RIE-025</t>
  </si>
  <si>
    <t>Flujo complejo para adultos mayores</t>
  </si>
  <si>
    <t>Usuarios no completan el flujo sin ayuda</t>
  </si>
  <si>
    <t>Revisión funcional del recorrido y evidencia de mensajes e instrucciones ajustadas.</t>
  </si>
  <si>
    <t>Se simplificaron textos y campos; falta una validación final del recorrido asistido.</t>
  </si>
  <si>
    <t>RIE-026</t>
  </si>
  <si>
    <t>Mensajes confusos</t>
  </si>
  <si>
    <t>Usuarios preguntan qué acción realizar</t>
  </si>
  <si>
    <t>RIE-027</t>
  </si>
  <si>
    <t>Colores inconsistentes</t>
  </si>
  <si>
    <t>Mismo elemento muestra colores distintos</t>
  </si>
  <si>
    <t>Comparación con paleta aprobada y capturas de pantallas consolidadas.</t>
  </si>
  <si>
    <t>RIE-028</t>
  </si>
  <si>
    <t>Uso excesivo del magenta</t>
  </si>
  <si>
    <t>Varias acciones compiten visualmente</t>
  </si>
  <si>
    <t>RIE-029</t>
  </si>
  <si>
    <t>Encabezado inconsistente</t>
  </si>
  <si>
    <t>Cambian logo, enlaces o alturas entre vistas</t>
  </si>
  <si>
    <t>RIE-030</t>
  </si>
  <si>
    <t>Diseño adaptable defectuoso</t>
  </si>
  <si>
    <t>Contenido cortado en pantalla pequeña</t>
  </si>
  <si>
    <t>Resultados de prueba en Chrome, Edge y resoluciones representativas.</t>
  </si>
  <si>
    <t>RIE-031</t>
  </si>
  <si>
    <t>Diferencias entre Chrome y Edge</t>
  </si>
  <si>
    <t>Resultado visual o funcional diferente</t>
  </si>
  <si>
    <t>RIE-032</t>
  </si>
  <si>
    <t>Pérdida de información</t>
  </si>
  <si>
    <t>Registros desaparecen después de cambios</t>
  </si>
  <si>
    <t>Consulta de base de datos, restricciones verificadas y respaldo de datos de prueba.</t>
  </si>
  <si>
    <t>Los registros persistieron después del reinicio y existe respaldo de datos de prueba.</t>
  </si>
  <si>
    <t>RIE-033</t>
  </si>
  <si>
    <t>Usuarios duplicados</t>
  </si>
  <si>
    <t>Mismo correo registrado más de una vez</t>
  </si>
  <si>
    <t>RIE-034</t>
  </si>
  <si>
    <t>Modelo de datos distinto de la documentación</t>
  </si>
  <si>
    <t>Atributo o relación no coincide</t>
  </si>
  <si>
    <t>RIE-035</t>
  </si>
  <si>
    <t>Carga lenta de páginas</t>
  </si>
  <si>
    <t>Página supera 3 segundos en pruebas</t>
  </si>
  <si>
    <t>Registro de tiempos de respuesta en ambiente local y revisión de recursos.</t>
  </si>
  <si>
    <t>Las pantallas principales cargaron dentro del umbral establecido en pruebas locales.</t>
  </si>
  <si>
    <t>RIE-036</t>
  </si>
  <si>
    <t>Servicios Python lentos</t>
  </si>
  <si>
    <t>Respuesta local supera 2 segundos</t>
  </si>
  <si>
    <t>RIE-037</t>
  </si>
  <si>
    <t>Código monolítico y difícil de mantener</t>
  </si>
  <si>
    <t>Archivo concentra interfaz, negocio y datos</t>
  </si>
  <si>
    <t>Árbol del proyecto y revisión técnica de rutas, modelos y servicios.</t>
  </si>
  <si>
    <t>RIE-038</t>
  </si>
  <si>
    <t>Integración tardía de HTML y Python</t>
  </si>
  <si>
    <t>Pantallas usan datos simulados cerca de entrega</t>
  </si>
  <si>
    <t>Evidencia de integración frontend-backend y ejecución del flujo principal.</t>
  </si>
  <si>
    <t>El flujo principal está conectado; continúan pruebas integrales y corrección de incidencias.</t>
  </si>
  <si>
    <t>RIE-039</t>
  </si>
  <si>
    <t>Cobertura de pruebas insuficiente</t>
  </si>
  <si>
    <t>Historia terminada sin evidencia de prueba</t>
  </si>
  <si>
    <t>Casos de prueba, incidencias y resultados asociados en Jira.</t>
  </si>
  <si>
    <t>Los casos críticos están ejecutados; se completa la cobertura y evidencia de escenarios negativos.</t>
  </si>
  <si>
    <t>RIE-040</t>
  </si>
  <si>
    <t>Defectos sin responsable</t>
  </si>
  <si>
    <t>Incidencia sin responsable o fecha</t>
  </si>
  <si>
    <t>RIE-041</t>
  </si>
  <si>
    <t>Incumplimiento de una tarea Highest</t>
  </si>
  <si>
    <t>Tarea Highest atrasada o fallida</t>
  </si>
  <si>
    <t>RIE-042</t>
  </si>
  <si>
    <t>Planificación</t>
  </si>
  <si>
    <t>Retraso de tareas críticas</t>
  </si>
  <si>
    <t>Desviación mayor a un día</t>
  </si>
  <si>
    <t>Cronograma del Sprint 4 y seguimiento de tareas críticas en Jira.</t>
  </si>
  <si>
    <t>La ruta crítica está controlada, pero requiere revisión diaria hasta el cierre del Sprint 4.</t>
  </si>
  <si>
    <t>RIE-043</t>
  </si>
  <si>
    <t>Equipo</t>
  </si>
  <si>
    <t>Indisponibilidad de un integrante</t>
  </si>
  <si>
    <t>Ausencia o falta de actualización</t>
  </si>
  <si>
    <t>Asignaciones individuales, actualización de responsables y seguimiento diario.</t>
  </si>
  <si>
    <t>RIE-044</t>
  </si>
  <si>
    <t>Distribución desigual del trabajo</t>
  </si>
  <si>
    <t>Un integrante acumula tareas pendientes</t>
  </si>
  <si>
    <t>RIE-045</t>
  </si>
  <si>
    <t>Herramientas</t>
  </si>
  <si>
    <t>Jira no refleja el avance real</t>
  </si>
  <si>
    <t>Diferencia entre archivos y estado de Jira</t>
  </si>
  <si>
    <t>Tablero Jira conciliado con archivos, commits y evidencias.</t>
  </si>
  <si>
    <t>Se realizó conciliación inicial; quedan evidencias y estados por actualizar antes del cierre.</t>
  </si>
  <si>
    <t>RIE-046</t>
  </si>
  <si>
    <t>Repositorio</t>
  </si>
  <si>
    <t>Pérdida o sobreescritura de código</t>
  </si>
  <si>
    <t>Conflicto o archivo eliminado accidentalmente</t>
  </si>
  <si>
    <t>Historial de commits, ramas y verificación de recuperación de versión.</t>
  </si>
  <si>
    <t>RIE-047</t>
  </si>
  <si>
    <t>Documento de Visión desactualizado</t>
  </si>
  <si>
    <t>Fechas, alcance o diagramas no coinciden</t>
  </si>
  <si>
    <t>Documento de Visión y anexos consolidados con control de versiones.</t>
  </si>
  <si>
    <t>La consolidación está en curso para incorporar matriz de calidad, riesgos, cambios, BPMN y cronograma.</t>
  </si>
  <si>
    <t>RIE-048</t>
  </si>
  <si>
    <t>Inconsistencias entre documentos</t>
  </si>
  <si>
    <t>Mismo dato aparece con valores distintos</t>
  </si>
  <si>
    <t>Se ejecuta revisión cruzada final de nombres, fechas, roles, alcance y versiones.</t>
  </si>
  <si>
    <t>RIE-049</t>
  </si>
  <si>
    <t>Requisitos sin vínculo con historias, pantallas o pruebas</t>
  </si>
  <si>
    <t>Función sin historia, clase, pantalla o prueba</t>
  </si>
  <si>
    <t>Matriz que relaciona requisito, historia, pantalla, servicio y prueba.</t>
  </si>
  <si>
    <t>La trazabilidad del MVP está avanzada; faltan vínculos de evidencia en algunos casos de prueba.</t>
  </si>
  <si>
    <t>RIE-050</t>
  </si>
  <si>
    <t>BPMN distinto de la implementación</t>
  </si>
  <si>
    <t>Actividad del flujo no existe en el sistema</t>
  </si>
  <si>
    <t>Diagramas BPMN comparados con los flujos vigentes del MVP.</t>
  </si>
  <si>
    <t>RIE-051</t>
  </si>
  <si>
    <t>Cambio implementado sin aprobación</t>
  </si>
  <si>
    <t>Commit o tarea sin solicitud asociada</t>
  </si>
  <si>
    <t>Formato y plan de control de cambios con decisión y trazabilidad.</t>
  </si>
  <si>
    <t>Los cambios revisados cuentan con registro, análisis y decisión antes de su incorporación.</t>
  </si>
  <si>
    <t>RIE-052</t>
  </si>
  <si>
    <t>Archivos incompletos o dañados</t>
  </si>
  <si>
    <t>Archivo faltante, corrupto o versión incorrecta</t>
  </si>
  <si>
    <t>Lista de entregables y prueba de apertura de los archivos finales.</t>
  </si>
  <si>
    <t>RIE-053</t>
  </si>
  <si>
    <t>Falla del ambiente de demostración</t>
  </si>
  <si>
    <t>Aplicación no inicia en equipo alterno</t>
  </si>
  <si>
    <t>Guion, datos de prueba y ensayo del ambiente de demostración.</t>
  </si>
  <si>
    <t>El ambiente local funciona; falta ensayo completo en un equipo alterno y respaldo de la demo.</t>
  </si>
  <si>
    <t>RIE-054</t>
  </si>
  <si>
    <t>Ausencia de datos de prueba</t>
  </si>
  <si>
    <t>No hay usuario válido para el recorrido</t>
  </si>
  <si>
    <t>DJ-001</t>
  </si>
  <si>
    <t>Flujos Django</t>
  </si>
  <si>
    <t>DJ-002</t>
  </si>
  <si>
    <t>DJ-003</t>
  </si>
  <si>
    <t>DJ-004</t>
  </si>
  <si>
    <t>DJ-005</t>
  </si>
  <si>
    <t>DJ-006</t>
  </si>
  <si>
    <t>DJ-007</t>
  </si>
  <si>
    <t>DJ-008</t>
  </si>
  <si>
    <t>DJ-009</t>
  </si>
  <si>
    <t>DJ-010</t>
  </si>
  <si>
    <t>Estado evidencia</t>
  </si>
  <si>
    <t>No conforme</t>
  </si>
  <si>
    <t>Lowest</t>
  </si>
  <si>
    <t>Estado de validación</t>
  </si>
  <si>
    <t>La matriz está planificada; los paquetes pendientes y en proceso no acreditan pruebas ejecutadas.</t>
  </si>
  <si>
    <t>Código por integrar en el repositorio: BS/views_solicitudes.py; BS/forms_solicitudes.py; BS/models.py</t>
  </si>
  <si>
    <t>Por vincular</t>
  </si>
  <si>
    <t>Commit pendiente</t>
  </si>
  <si>
    <t>Prueba prevista: Crear solicitud válida, rechazar datos inválidos, guardar ubicación y verificar acuse por correo. Falta adjuntar resultado y fecha.</t>
  </si>
  <si>
    <t>Código por integrar en el repositorio: BS/views_solicitudes.py; BS/urls_perfil.py</t>
  </si>
  <si>
    <t>Prueba prevista: Consultar, editar y cancelar solicitud propia; bloquear acceso ajeno y URL inexistente con respuesta controlada. Falta adjuntar resultado y fecha.</t>
  </si>
  <si>
    <t>Código por integrar en el repositorio: BS/views_voluntariado.py; BS/forms_voluntariado.py</t>
  </si>
  <si>
    <t>Prueba prevista: Ver solicitudes elegibles, postular, retirar y contrastar estado y distancia con datos de prueba. Falta adjuntar resultado y fecha.</t>
  </si>
  <si>
    <t>Código por integrar en el repositorio: BS/views_coordinacion.py; BS/forms_coordinacion.py</t>
  </si>
  <si>
    <t>Prueba prevista: Revisar bandeja, aprobar, asignar y comprobar permisos, historial y notificaciones. Falta adjuntar resultado y fecha.</t>
  </si>
  <si>
    <t>Código por integrar en el repositorio: BS/views_contacto.py; BS/services_contacto.py; BS/forms_contacto.py</t>
  </si>
  <si>
    <t>Prueba prevista: Registrar caso, recibir acuse, cambiar estado, guardar actuación y verificar nota del correo. Falta adjuntar resultado y fecha.</t>
  </si>
  <si>
    <t>Código por integrar en el repositorio: BS/views_usuarios.py; BS/views_roles.py; BS/views_catalogos.py</t>
  </si>
  <si>
    <t>Prueba prevista: Alta y activación administrativa; añadir rol, modificar permisos y catálogos; bloquear acceso ajeno. Falta adjuntar resultado y fecha.</t>
  </si>
  <si>
    <t>Código por integrar en el repositorio: BS/views_instituciones.py; BS/templates/instituciones/</t>
  </si>
  <si>
    <t>Prueba prevista: Crear institución, recortar imagen y comprobar tarjetas, enlace y navegación del carrusel. Falta adjuntar resultado y fecha.</t>
  </si>
  <si>
    <t>Código por integrar en el repositorio: BS/views_cuentas.py; BS/views_social.py; BS/social_adapter.py</t>
  </si>
  <si>
    <t>Prueba prevista: Activar, reenviar, caducar enlace y verificar inicio local, Google y Microsoft con confirmación por correo. Falta adjuntar resultado y fecha.</t>
  </si>
  <si>
    <t>Código por integrar en el repositorio: BS/views_perfil.py; BS/templates/cuentas/aceptar_datos_personales.html</t>
  </si>
  <si>
    <t>Prueba prevista: Primer acceso local y social, abrir ley en otra pestaña y comprobar fecha y hora de aceptación. Falta adjuntar resultado y fecha.</t>
  </si>
  <si>
    <t>Código por integrar en el repositorio: BS/templates/componentes/accesibilidad_panel.html; BS/static/</t>
  </si>
  <si>
    <t>Prueba prevista: Probar teclado, foco, contraste y lectura en voz en portal y panel; registrar resultados por navegador. Falta adjuntar resultado y fecha.</t>
  </si>
  <si>
    <t>Caso previsto: Crear solicitud válida, rechazar datos inválidos, guardar ubicación y verificar acuse por correo.</t>
  </si>
  <si>
    <t>Código de referencia: BS/views_solicitudes.py; BS/forms_solicitudes.py; BS/models.py. Ejecución y resultado pendientes; no marcar como conforme sin reporte.</t>
  </si>
  <si>
    <t>Caso previsto: Consultar, editar y cancelar solicitud propia; bloquear acceso ajeno y URL inexistente con respuesta controlada.</t>
  </si>
  <si>
    <t>Código de referencia: BS/views_solicitudes.py; BS/urls_perfil.py. Ejecución y resultado pendientes; no marcar como conforme sin reporte.</t>
  </si>
  <si>
    <t>Caso previsto: Ver solicitudes elegibles, postular, retirar y contrastar estado y distancia con datos de prueba.</t>
  </si>
  <si>
    <t>Código de referencia: BS/views_voluntariado.py; BS/forms_voluntariado.py. Ejecución y resultado pendientes; no marcar como conforme sin reporte.</t>
  </si>
  <si>
    <t>Caso previsto: Revisar bandeja, aprobar, asignar y comprobar permisos, historial y notificaciones.</t>
  </si>
  <si>
    <t>Código de referencia: BS/views_coordinacion.py; BS/forms_coordinacion.py. Ejecución y resultado pendientes; no marcar como conforme sin reporte.</t>
  </si>
  <si>
    <t>Caso previsto: Registrar caso, recibir acuse, cambiar estado, guardar actuación y verificar nota del correo.</t>
  </si>
  <si>
    <t>Código de referencia: BS/views_contacto.py; BS/services_contacto.py; BS/forms_contacto.py. Ejecución y resultado pendientes; no marcar como conforme sin reporte.</t>
  </si>
  <si>
    <t>Caso previsto: Alta y activación administrativa; añadir rol, modificar permisos y catálogos; bloquear acceso ajeno.</t>
  </si>
  <si>
    <t>Código de referencia: BS/views_usuarios.py; BS/views_roles.py; BS/views_catalogos.py. Ejecución y resultado pendientes; no marcar como conforme sin reporte.</t>
  </si>
  <si>
    <t>Caso previsto: Crear institución, recortar imagen y comprobar tarjetas, enlace y navegación del carrusel.</t>
  </si>
  <si>
    <t>Código de referencia: BS/views_instituciones.py; BS/templates/instituciones/. Ejecución y resultado pendientes; no marcar como conforme sin reporte.</t>
  </si>
  <si>
    <t>Caso previsto: Activar, reenviar, caducar enlace y verificar inicio local, Google y Microsoft con confirmación por correo.</t>
  </si>
  <si>
    <t>Código de referencia: BS/views_cuentas.py; BS/views_social.py; BS/social_adapter.py. Ejecución y resultado pendientes; no marcar como conforme sin reporte.</t>
  </si>
  <si>
    <t>Caso previsto: Primer acceso local y social, abrir ley en otra pestaña y comprobar fecha y hora de aceptación.</t>
  </si>
  <si>
    <t>Código de referencia: BS/views_perfil.py; BS/templates/cuentas/aceptar_datos_personales.html. Ejecución y resultado pendientes; no marcar como conforme sin reporte.</t>
  </si>
  <si>
    <t>Caso previsto: Probar teclado, foco, contraste y lectura en voz en portal y panel; registrar resultados por navegador.</t>
  </si>
  <si>
    <t>Código de referencia: BS/templates/componentes/accesibilidad_panel.html; BS/static/. Ejecución y resultado pendientes; no marcar como conforme sin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</si>
</sst>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2A3966"/>
      <name val="Arial"/>
    </font>
    <font>
      <i/>
      <sz val="11"/>
      <color rgb="FF222B3A"/>
      <name val="Arial"/>
    </font>
    <font>
      <b/>
      <sz val="10"/>
      <color rgb="FFFFFFFF"/>
      <name val="Arial"/>
    </font>
    <font>
      <sz val="10"/>
      <color rgb="FF222B3A"/>
      <name val="Arial"/>
    </font>
    <font>
      <b/>
      <sz val="11"/>
      <color rgb="FFFFFFFF"/>
      <name val="Arial"/>
    </font>
    <font>
      <sz val="11"/>
      <name val="Arial"/>
    </font>
    <font>
      <b/>
      <sz val="10"/>
      <color rgb="FF2A3966"/>
      <name val="Arial"/>
    </font>
    <font>
      <sz val="10"/>
      <color rgb="FF222B3A"/>
      <name val="Arial"/>
      <family val="2"/>
    </font>
    <font>
      <sz val="10"/>
      <name val="Arial"/>
      <family val="2"/>
    </font>
    <font>
      <b/>
      <sz val="10"/>
      <color rgb="FF222B3A"/>
      <name val="Arial"/>
      <family val="2"/>
    </font>
    <font>
      <b/>
      <sz val="12"/>
      <color rgb="FF222B3A"/>
      <name val="Arial"/>
      <family val="2"/>
    </font>
    <font>
      <b/>
      <sz val="12"/>
      <color rgb="FF2A3966"/>
      <name val="Arial"/>
      <family val="2"/>
    </font>
    <font>
      <sz val="12"/>
      <color rgb="FF222B3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2A3966"/>
      </patternFill>
    </fill>
    <fill>
      <patternFill patternType="solid">
        <fgColor rgb="FFE9EDF5"/>
      </patternFill>
    </fill>
    <fill>
      <patternFill patternType="solid">
        <fgColor rgb="FFC92351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4" fontId="4" fillId="0" borderId="2" xfId="0" applyNumberFormat="1" applyFont="1" applyBorder="1" applyAlignment="1">
      <alignment vertical="top" wrapText="1"/>
    </xf>
    <xf numFmtId="0" fontId="6" fillId="0" borderId="0" xfId="0" applyFont="1"/>
    <xf numFmtId="0" fontId="7" fillId="0" borderId="2" xfId="0" applyFont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2" borderId="0" xfId="0" applyFont="1" applyFill="1" applyAlignment="1">
      <alignment wrapText="1"/>
    </xf>
    <xf numFmtId="0" fontId="5" fillId="5" borderId="0" xfId="0" applyFont="1" applyFill="1" applyAlignment="1">
      <alignment vertical="center"/>
    </xf>
    <xf numFmtId="0" fontId="0" fillId="0" borderId="0" xfId="0"/>
    <xf numFmtId="0" fontId="2" fillId="2" borderId="0" xfId="0" applyFont="1" applyFill="1"/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0" borderId="0" xfId="0" applyFont="1"/>
    <xf numFmtId="0" fontId="10" fillId="4" borderId="2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9C65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B2:J24"/>
  <sheetViews>
    <sheetView showGridLines="0" workbookViewId="0">
      <selection activeCell="C17" sqref="C17:J17"/>
    </sheetView>
  </sheetViews>
  <sheetFormatPr baseColWidth="10" defaultColWidth="8.796875" defaultRowHeight="13.8"/>
  <cols>
    <col min="1" max="1" width="6" customWidth="1"/>
    <col min="2" max="2" width="38" customWidth="1"/>
    <col min="3" max="3" width="16.796875" customWidth="1"/>
    <col min="4" max="4" width="34" customWidth="1"/>
    <col min="5" max="5" width="3" customWidth="1"/>
    <col min="6" max="6" width="16" customWidth="1"/>
    <col min="7" max="7" width="14" customWidth="1"/>
    <col min="8" max="8" width="22" customWidth="1"/>
    <col min="9" max="9" width="14" customWidth="1"/>
    <col min="10" max="10" width="18" customWidth="1"/>
  </cols>
  <sheetData>
    <row r="2" spans="2:10" ht="28.05" customHeight="1">
      <c r="B2" s="6" t="s">
        <v>0</v>
      </c>
      <c r="C2" s="7"/>
      <c r="D2" s="7"/>
      <c r="E2" s="7"/>
      <c r="F2" s="7"/>
      <c r="G2" s="7"/>
      <c r="H2" s="7"/>
      <c r="I2" s="7"/>
      <c r="J2" s="7"/>
    </row>
    <row r="3" spans="2:10" ht="14.4">
      <c r="B3" s="8" t="s">
        <v>1</v>
      </c>
      <c r="C3" s="8"/>
      <c r="D3" s="8"/>
      <c r="E3" s="8"/>
      <c r="F3" s="8"/>
      <c r="G3" s="8"/>
      <c r="H3" s="8"/>
      <c r="I3" s="8"/>
      <c r="J3" s="8"/>
    </row>
    <row r="4" spans="2:10">
      <c r="B4" s="4"/>
      <c r="C4" s="4"/>
      <c r="D4" s="4"/>
      <c r="E4" s="4"/>
      <c r="F4" s="4"/>
      <c r="G4" s="4"/>
      <c r="H4" s="4"/>
      <c r="I4" s="4"/>
      <c r="J4" s="4"/>
    </row>
    <row r="5" spans="2:10" ht="26.4">
      <c r="B5" s="1" t="s">
        <v>2</v>
      </c>
      <c r="C5" s="1" t="s">
        <v>3</v>
      </c>
      <c r="D5" s="1" t="s">
        <v>4</v>
      </c>
      <c r="E5" s="4"/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2:10" ht="15.6">
      <c r="B6" s="16" t="s">
        <v>10</v>
      </c>
      <c r="C6" s="17">
        <f>COUNTA('Matriz de evidencias'!A10:A52)</f>
        <v>43</v>
      </c>
      <c r="D6" s="18" t="s">
        <v>11</v>
      </c>
      <c r="E6" s="4"/>
      <c r="F6" s="2" t="s">
        <v>12</v>
      </c>
      <c r="G6" s="2">
        <f>COUNTIF('Matriz de evidencias'!N10:N52,F6)</f>
        <v>21</v>
      </c>
      <c r="H6" s="2" t="s">
        <v>13</v>
      </c>
      <c r="I6" s="3">
        <v>46296</v>
      </c>
      <c r="J6" s="2" t="s">
        <v>14</v>
      </c>
    </row>
    <row r="7" spans="2:10" ht="60">
      <c r="B7" s="16" t="s">
        <v>15</v>
      </c>
      <c r="C7" s="17">
        <f>COUNTIF('Matriz de evidencias'!N10:N52,"Verificada")</f>
        <v>21</v>
      </c>
      <c r="D7" s="18" t="s">
        <v>16</v>
      </c>
      <c r="E7" s="4"/>
      <c r="F7" s="2" t="s">
        <v>17</v>
      </c>
      <c r="G7" s="2">
        <f>COUNTIF('Matriz de evidencias'!N10:N52,F7)</f>
        <v>12</v>
      </c>
      <c r="H7" s="2" t="s">
        <v>18</v>
      </c>
      <c r="I7" s="3">
        <v>46296</v>
      </c>
      <c r="J7" s="2"/>
    </row>
    <row r="8" spans="2:10" ht="15.6">
      <c r="B8" s="16" t="s">
        <v>17</v>
      </c>
      <c r="C8" s="17">
        <f>COUNTIF('Matriz de evidencias'!N10:N52,"En proceso")</f>
        <v>12</v>
      </c>
      <c r="D8" s="18" t="s">
        <v>19</v>
      </c>
      <c r="E8" s="4"/>
      <c r="F8" s="2" t="s">
        <v>20</v>
      </c>
      <c r="G8" s="2">
        <f>COUNTIF('Matriz de evidencias'!N10:N52,F8)</f>
        <v>10</v>
      </c>
      <c r="H8" s="2"/>
      <c r="I8" s="3"/>
      <c r="J8" s="2"/>
    </row>
    <row r="9" spans="2:10" ht="15.6">
      <c r="B9" s="16" t="s">
        <v>21</v>
      </c>
      <c r="C9" s="17">
        <f>COUNTIF('Matriz de evidencias'!N10:N52,"Pendiente")</f>
        <v>10</v>
      </c>
      <c r="D9" s="18" t="s">
        <v>22</v>
      </c>
      <c r="E9" s="4"/>
      <c r="F9" s="4"/>
      <c r="G9" s="4"/>
      <c r="H9" s="4"/>
      <c r="I9" s="4"/>
      <c r="J9" s="4"/>
    </row>
    <row r="10" spans="2:10" ht="15.6">
      <c r="B10" s="16" t="s">
        <v>23</v>
      </c>
      <c r="C10" s="17">
        <f>COUNTIF('Matriz de evidencias'!O10:O52,"Conforme")</f>
        <v>21</v>
      </c>
      <c r="D10" s="18" t="s">
        <v>24</v>
      </c>
      <c r="E10" s="4"/>
      <c r="F10" s="4"/>
      <c r="G10" s="4"/>
      <c r="H10" s="4"/>
      <c r="I10" s="4"/>
      <c r="J10" s="4"/>
    </row>
    <row r="11" spans="2:10" ht="30">
      <c r="B11" s="16" t="s">
        <v>25</v>
      </c>
      <c r="C11" s="17">
        <f>COUNTIF('Matriz de evidencias'!O10:O52,"Parcial")</f>
        <v>12</v>
      </c>
      <c r="D11" s="18" t="s">
        <v>26</v>
      </c>
      <c r="E11" s="4"/>
      <c r="F11" s="4"/>
      <c r="G11" s="4"/>
      <c r="H11" s="4"/>
      <c r="I11" s="4"/>
      <c r="J11" s="4"/>
    </row>
    <row r="12" spans="2:10" ht="15.6">
      <c r="B12" s="16" t="s">
        <v>27</v>
      </c>
      <c r="C12" s="17">
        <f>COUNTIF(Trazabilidad!B7:B134,"Matriz de calidad")</f>
        <v>64</v>
      </c>
      <c r="D12" s="18" t="s">
        <v>28</v>
      </c>
      <c r="E12" s="4"/>
      <c r="F12" s="4"/>
      <c r="G12" s="4"/>
      <c r="H12" s="4"/>
      <c r="I12" s="4"/>
      <c r="J12" s="4"/>
    </row>
    <row r="13" spans="2:10" ht="15.6">
      <c r="B13" s="16" t="s">
        <v>29</v>
      </c>
      <c r="C13" s="17">
        <f>COUNTIF(Trazabilidad!B7:B134,"Matriz de riesgos")</f>
        <v>54</v>
      </c>
      <c r="D13" s="18" t="s">
        <v>30</v>
      </c>
      <c r="E13" s="4"/>
      <c r="F13" s="4"/>
      <c r="G13" s="4"/>
      <c r="H13" s="4"/>
      <c r="I13" s="4"/>
      <c r="J13" s="4"/>
    </row>
    <row r="14" spans="2:10" ht="30">
      <c r="B14" s="16" t="s">
        <v>31</v>
      </c>
      <c r="C14" s="17">
        <v>10</v>
      </c>
      <c r="D14" s="18" t="s">
        <v>32</v>
      </c>
      <c r="E14" s="4"/>
      <c r="F14" s="4"/>
      <c r="G14" s="4"/>
      <c r="H14" s="4"/>
      <c r="I14" s="4"/>
      <c r="J14" s="4"/>
    </row>
    <row r="1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9" t="s">
        <v>33</v>
      </c>
      <c r="C16" s="7"/>
      <c r="D16" s="7"/>
      <c r="E16" s="7"/>
      <c r="F16" s="7"/>
      <c r="G16" s="7"/>
      <c r="H16" s="7"/>
      <c r="I16" s="7"/>
      <c r="J16" s="7"/>
    </row>
    <row r="17" spans="2:10">
      <c r="B17" s="12" t="s">
        <v>34</v>
      </c>
      <c r="C17" s="13" t="s">
        <v>35</v>
      </c>
      <c r="D17" s="13"/>
      <c r="E17" s="13"/>
      <c r="F17" s="13"/>
      <c r="G17" s="13"/>
      <c r="H17" s="13"/>
      <c r="I17" s="13"/>
      <c r="J17" s="13"/>
    </row>
    <row r="18" spans="2:10">
      <c r="B18" s="12" t="s">
        <v>36</v>
      </c>
      <c r="C18" s="13" t="s">
        <v>37</v>
      </c>
      <c r="D18" s="13"/>
      <c r="E18" s="13"/>
      <c r="F18" s="13"/>
      <c r="G18" s="13"/>
      <c r="H18" s="13"/>
      <c r="I18" s="13"/>
      <c r="J18" s="13"/>
    </row>
    <row r="19" spans="2:10">
      <c r="B19" s="12" t="s">
        <v>38</v>
      </c>
      <c r="C19" s="13" t="s">
        <v>39</v>
      </c>
      <c r="D19" s="13"/>
      <c r="E19" s="13"/>
      <c r="F19" s="13"/>
      <c r="G19" s="13"/>
      <c r="H19" s="13"/>
      <c r="I19" s="13"/>
      <c r="J19" s="13"/>
    </row>
    <row r="20" spans="2:10">
      <c r="B20" s="12" t="s">
        <v>40</v>
      </c>
      <c r="C20" s="13" t="s">
        <v>41</v>
      </c>
      <c r="D20" s="13"/>
      <c r="E20" s="13"/>
      <c r="F20" s="13"/>
      <c r="G20" s="13"/>
      <c r="H20" s="13"/>
      <c r="I20" s="13"/>
      <c r="J20" s="13"/>
    </row>
    <row r="21" spans="2:10">
      <c r="B21" s="12" t="s">
        <v>42</v>
      </c>
      <c r="C21" s="13" t="s">
        <v>43</v>
      </c>
      <c r="D21" s="13"/>
      <c r="E21" s="13"/>
      <c r="F21" s="13"/>
      <c r="G21" s="13"/>
      <c r="H21" s="13"/>
      <c r="I21" s="13"/>
      <c r="J21" s="13"/>
    </row>
    <row r="22" spans="2:10">
      <c r="B22" s="14" t="s">
        <v>846</v>
      </c>
      <c r="C22" s="14" t="s">
        <v>847</v>
      </c>
      <c r="D22" s="14"/>
      <c r="E22" s="14"/>
      <c r="F22" s="14"/>
      <c r="G22" s="14"/>
      <c r="H22" s="14"/>
      <c r="I22" s="14"/>
      <c r="J22" s="14"/>
    </row>
    <row r="23" spans="2:10">
      <c r="B23" s="15" t="s">
        <v>44</v>
      </c>
      <c r="C23" s="13" t="s">
        <v>45</v>
      </c>
      <c r="D23" s="13"/>
      <c r="E23" s="13"/>
      <c r="F23" s="13"/>
      <c r="G23" s="13"/>
      <c r="H23" s="13"/>
      <c r="I23" s="13"/>
      <c r="J23" s="13"/>
    </row>
    <row r="24" spans="2:10">
      <c r="B24" s="15" t="s">
        <v>46</v>
      </c>
      <c r="C24" s="13" t="s">
        <v>47</v>
      </c>
      <c r="D24" s="13"/>
      <c r="E24" s="13"/>
      <c r="F24" s="13"/>
      <c r="G24" s="13"/>
      <c r="H24" s="13"/>
      <c r="I24" s="13"/>
      <c r="J24" s="13"/>
    </row>
  </sheetData>
  <mergeCells count="10">
    <mergeCell ref="B2:J2"/>
    <mergeCell ref="B3:J3"/>
    <mergeCell ref="B16:J16"/>
    <mergeCell ref="C17:J17"/>
    <mergeCell ref="C18:J18"/>
    <mergeCell ref="C19:J19"/>
    <mergeCell ref="C20:J20"/>
    <mergeCell ref="C21:J21"/>
    <mergeCell ref="C23:J23"/>
    <mergeCell ref="C24:J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2:S52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796875" defaultRowHeight="13.8"/>
  <cols>
    <col min="1" max="1" width="12" customWidth="1"/>
    <col min="2" max="2" width="17" customWidth="1"/>
    <col min="3" max="3" width="31" customWidth="1"/>
    <col min="4" max="4" width="48" customWidth="1"/>
    <col min="5" max="5" width="12" customWidth="1"/>
    <col min="6" max="6" width="10" customWidth="1"/>
    <col min="7" max="7" width="22" customWidth="1"/>
    <col min="8" max="9" width="23" customWidth="1"/>
    <col min="10" max="10" width="12" customWidth="1"/>
    <col min="11" max="12" width="13" customWidth="1"/>
    <col min="13" max="13" width="27" customWidth="1"/>
    <col min="14" max="14" width="14" customWidth="1"/>
    <col min="15" max="15" width="13" customWidth="1"/>
    <col min="16" max="16" width="15" customWidth="1"/>
    <col min="17" max="18" width="13" customWidth="1"/>
    <col min="19" max="19" width="48" customWidth="1"/>
  </cols>
  <sheetData>
    <row r="2" spans="1:19" ht="28.05" customHeight="1">
      <c r="A2" s="6" t="s">
        <v>48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4.4">
      <c r="A3" s="8" t="s">
        <v>49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5" spans="1:19">
      <c r="A5" s="1" t="s">
        <v>50</v>
      </c>
      <c r="B5" s="1" t="s">
        <v>15</v>
      </c>
      <c r="C5" s="1" t="s">
        <v>17</v>
      </c>
      <c r="D5" s="1" t="s">
        <v>21</v>
      </c>
      <c r="E5" s="1" t="s">
        <v>51</v>
      </c>
      <c r="F5" s="1" t="s">
        <v>52</v>
      </c>
      <c r="G5" s="1" t="s">
        <v>53</v>
      </c>
      <c r="H5" s="1" t="s">
        <v>29</v>
      </c>
    </row>
    <row r="6" spans="1:19">
      <c r="A6" s="5">
        <f>COUNTA(A10:A52)</f>
        <v>43</v>
      </c>
      <c r="B6" s="5">
        <f>COUNTIF(N10:N52,"Verificada")</f>
        <v>21</v>
      </c>
      <c r="C6" s="5">
        <f>COUNTIF(N10:N52,"En proceso")</f>
        <v>12</v>
      </c>
      <c r="D6" s="5">
        <f>COUNTIF(N10:N52,"Pendiente")</f>
        <v>10</v>
      </c>
      <c r="E6" s="5">
        <f>COUNTIF(O10:O52,"Conforme")</f>
        <v>21</v>
      </c>
      <c r="F6" s="5">
        <f>COUNTIF(O10:O52,"Parcial")</f>
        <v>12</v>
      </c>
      <c r="G6" s="5">
        <f>SUM(E10:E52)</f>
        <v>64</v>
      </c>
      <c r="H6" s="5">
        <f>SUM(F10:F52)</f>
        <v>54</v>
      </c>
    </row>
    <row r="9" spans="1:19" ht="43.95" customHeight="1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  <c r="I9" s="1" t="s">
        <v>62</v>
      </c>
      <c r="J9" s="1" t="s">
        <v>63</v>
      </c>
      <c r="K9" s="1" t="s">
        <v>64</v>
      </c>
      <c r="L9" s="1" t="s">
        <v>65</v>
      </c>
      <c r="M9" s="1" t="s">
        <v>66</v>
      </c>
      <c r="N9" s="1" t="s">
        <v>5</v>
      </c>
      <c r="O9" s="1" t="s">
        <v>3</v>
      </c>
      <c r="P9" s="1" t="s">
        <v>67</v>
      </c>
      <c r="Q9" s="1" t="s">
        <v>68</v>
      </c>
      <c r="R9" s="1" t="s">
        <v>69</v>
      </c>
      <c r="S9" s="1" t="s">
        <v>70</v>
      </c>
    </row>
    <row r="10" spans="1:19" ht="58.05" customHeight="1">
      <c r="A10" s="2" t="s">
        <v>71</v>
      </c>
      <c r="B10" s="2" t="s">
        <v>72</v>
      </c>
      <c r="C10" s="2" t="s">
        <v>73</v>
      </c>
      <c r="D10" s="2" t="s">
        <v>74</v>
      </c>
      <c r="E10" s="2">
        <f>COUNTIFS(Trazabilidad!$F$7:$F$134,$A10,Trazabilidad!$B$7:$B$134,"Matriz de calidad")</f>
        <v>1</v>
      </c>
      <c r="F10" s="2">
        <f>COUNTIFS(Trazabilidad!$F$7:$F$134,$A10,Trazabilidad!$B$7:$B$134,"Matriz de riesgos")</f>
        <v>2</v>
      </c>
      <c r="G10" s="2" t="s">
        <v>75</v>
      </c>
      <c r="H10" s="2" t="s">
        <v>76</v>
      </c>
      <c r="I10" s="2" t="s">
        <v>13</v>
      </c>
      <c r="J10" s="2" t="s">
        <v>77</v>
      </c>
      <c r="K10" s="3">
        <v>46291</v>
      </c>
      <c r="L10" s="3">
        <v>46291</v>
      </c>
      <c r="M10" s="2" t="s">
        <v>78</v>
      </c>
      <c r="N10" s="2" t="s">
        <v>12</v>
      </c>
      <c r="O10" s="2" t="s">
        <v>79</v>
      </c>
      <c r="P10" s="2" t="s">
        <v>80</v>
      </c>
      <c r="Q10" s="2" t="s">
        <v>81</v>
      </c>
      <c r="R10" s="2" t="s">
        <v>82</v>
      </c>
      <c r="S10" s="2" t="s">
        <v>83</v>
      </c>
    </row>
    <row r="11" spans="1:19" ht="58.05" customHeight="1">
      <c r="A11" s="2" t="s">
        <v>84</v>
      </c>
      <c r="B11" s="2" t="s">
        <v>85</v>
      </c>
      <c r="C11" s="2" t="s">
        <v>86</v>
      </c>
      <c r="D11" s="2" t="s">
        <v>87</v>
      </c>
      <c r="E11" s="2">
        <f>COUNTIFS(Trazabilidad!$F$7:$F$134,$A11,Trazabilidad!$B$7:$B$134,"Matriz de calidad")</f>
        <v>2</v>
      </c>
      <c r="F11" s="2">
        <f>COUNTIFS(Trazabilidad!$F$7:$F$134,$A11,Trazabilidad!$B$7:$B$134,"Matriz de riesgos")</f>
        <v>0</v>
      </c>
      <c r="G11" s="2" t="s">
        <v>88</v>
      </c>
      <c r="H11" s="2" t="s">
        <v>89</v>
      </c>
      <c r="I11" s="2" t="s">
        <v>76</v>
      </c>
      <c r="J11" s="2" t="s">
        <v>90</v>
      </c>
      <c r="K11" s="3">
        <v>46291</v>
      </c>
      <c r="L11" s="3">
        <v>46291</v>
      </c>
      <c r="M11" s="2" t="s">
        <v>91</v>
      </c>
      <c r="N11" s="2" t="s">
        <v>12</v>
      </c>
      <c r="O11" s="2" t="s">
        <v>79</v>
      </c>
      <c r="P11" s="2" t="s">
        <v>80</v>
      </c>
      <c r="Q11" s="2" t="s">
        <v>81</v>
      </c>
      <c r="R11" s="2" t="s">
        <v>82</v>
      </c>
      <c r="S11" s="2" t="s">
        <v>92</v>
      </c>
    </row>
    <row r="12" spans="1:19" ht="58.05" customHeight="1">
      <c r="A12" s="2" t="s">
        <v>93</v>
      </c>
      <c r="B12" s="2" t="s">
        <v>85</v>
      </c>
      <c r="C12" s="2" t="s">
        <v>94</v>
      </c>
      <c r="D12" s="2" t="s">
        <v>95</v>
      </c>
      <c r="E12" s="2">
        <f>COUNTIFS(Trazabilidad!$F$7:$F$134,$A12,Trazabilidad!$B$7:$B$134,"Matriz de calidad")</f>
        <v>3</v>
      </c>
      <c r="F12" s="2">
        <f>COUNTIFS(Trazabilidad!$F$7:$F$134,$A12,Trazabilidad!$B$7:$B$134,"Matriz de riesgos")</f>
        <v>1</v>
      </c>
      <c r="G12" s="2" t="s">
        <v>96</v>
      </c>
      <c r="H12" s="2" t="s">
        <v>97</v>
      </c>
      <c r="I12" s="2" t="s">
        <v>18</v>
      </c>
      <c r="J12" s="2" t="s">
        <v>77</v>
      </c>
      <c r="K12" s="3">
        <v>46291</v>
      </c>
      <c r="L12" s="3">
        <v>46291</v>
      </c>
      <c r="M12" s="2" t="s">
        <v>98</v>
      </c>
      <c r="N12" s="2" t="s">
        <v>12</v>
      </c>
      <c r="O12" s="2" t="s">
        <v>79</v>
      </c>
      <c r="P12" s="2" t="s">
        <v>80</v>
      </c>
      <c r="Q12" s="2" t="s">
        <v>81</v>
      </c>
      <c r="R12" s="2" t="s">
        <v>82</v>
      </c>
      <c r="S12" s="2" t="s">
        <v>99</v>
      </c>
    </row>
    <row r="13" spans="1:19" ht="58.05" customHeight="1">
      <c r="A13" s="2" t="s">
        <v>100</v>
      </c>
      <c r="B13" s="2" t="s">
        <v>101</v>
      </c>
      <c r="C13" s="2" t="s">
        <v>102</v>
      </c>
      <c r="D13" s="2" t="s">
        <v>103</v>
      </c>
      <c r="E13" s="2">
        <f>COUNTIFS(Trazabilidad!$F$7:$F$134,$A13,Trazabilidad!$B$7:$B$134,"Matriz de calidad")</f>
        <v>4</v>
      </c>
      <c r="F13" s="2">
        <f>COUNTIFS(Trazabilidad!$F$7:$F$134,$A13,Trazabilidad!$B$7:$B$134,"Matriz de riesgos")</f>
        <v>3</v>
      </c>
      <c r="G13" s="2" t="s">
        <v>104</v>
      </c>
      <c r="H13" s="2" t="s">
        <v>105</v>
      </c>
      <c r="I13" s="2" t="s">
        <v>18</v>
      </c>
      <c r="J13" s="2" t="s">
        <v>77</v>
      </c>
      <c r="K13" s="3">
        <v>46291</v>
      </c>
      <c r="L13" s="3">
        <v>46292</v>
      </c>
      <c r="M13" s="2" t="s">
        <v>106</v>
      </c>
      <c r="N13" s="2" t="s">
        <v>12</v>
      </c>
      <c r="O13" s="2" t="s">
        <v>79</v>
      </c>
      <c r="P13" s="2" t="s">
        <v>80</v>
      </c>
      <c r="Q13" s="2" t="s">
        <v>81</v>
      </c>
      <c r="R13" s="2" t="s">
        <v>82</v>
      </c>
      <c r="S13" s="2" t="s">
        <v>107</v>
      </c>
    </row>
    <row r="14" spans="1:19" ht="58.05" customHeight="1">
      <c r="A14" s="2" t="s">
        <v>108</v>
      </c>
      <c r="B14" s="2" t="s">
        <v>85</v>
      </c>
      <c r="C14" s="2" t="s">
        <v>109</v>
      </c>
      <c r="D14" s="2" t="s">
        <v>110</v>
      </c>
      <c r="E14" s="2">
        <f>COUNTIFS(Trazabilidad!$F$7:$F$134,$A14,Trazabilidad!$B$7:$B$134,"Matriz de calidad")</f>
        <v>2</v>
      </c>
      <c r="F14" s="2">
        <f>COUNTIFS(Trazabilidad!$F$7:$F$134,$A14,Trazabilidad!$B$7:$B$134,"Matriz de riesgos")</f>
        <v>1</v>
      </c>
      <c r="G14" s="2" t="s">
        <v>111</v>
      </c>
      <c r="H14" s="2" t="s">
        <v>97</v>
      </c>
      <c r="I14" s="2" t="s">
        <v>18</v>
      </c>
      <c r="J14" s="2" t="s">
        <v>90</v>
      </c>
      <c r="K14" s="3">
        <v>46292</v>
      </c>
      <c r="L14" s="3"/>
      <c r="M14" s="2" t="s">
        <v>112</v>
      </c>
      <c r="N14" s="2" t="s">
        <v>17</v>
      </c>
      <c r="O14" s="2" t="s">
        <v>113</v>
      </c>
      <c r="P14" s="2" t="s">
        <v>80</v>
      </c>
      <c r="Q14" s="2" t="s">
        <v>81</v>
      </c>
      <c r="R14" s="2" t="s">
        <v>82</v>
      </c>
      <c r="S14" s="2" t="s">
        <v>114</v>
      </c>
    </row>
    <row r="15" spans="1:19" ht="58.05" customHeight="1">
      <c r="A15" s="2" t="s">
        <v>115</v>
      </c>
      <c r="B15" s="2" t="s">
        <v>101</v>
      </c>
      <c r="C15" s="2" t="s">
        <v>116</v>
      </c>
      <c r="D15" s="2" t="s">
        <v>117</v>
      </c>
      <c r="E15" s="2">
        <f>COUNTIFS(Trazabilidad!$F$7:$F$134,$A15,Trazabilidad!$B$7:$B$134,"Matriz de calidad")</f>
        <v>2</v>
      </c>
      <c r="F15" s="2">
        <f>COUNTIFS(Trazabilidad!$F$7:$F$134,$A15,Trazabilidad!$B$7:$B$134,"Matriz de riesgos")</f>
        <v>2</v>
      </c>
      <c r="G15" s="2" t="s">
        <v>118</v>
      </c>
      <c r="H15" s="2" t="s">
        <v>105</v>
      </c>
      <c r="I15" s="2" t="s">
        <v>18</v>
      </c>
      <c r="J15" s="2" t="s">
        <v>77</v>
      </c>
      <c r="K15" s="3">
        <v>46292</v>
      </c>
      <c r="L15" s="3"/>
      <c r="M15" s="2" t="s">
        <v>119</v>
      </c>
      <c r="N15" s="2" t="s">
        <v>17</v>
      </c>
      <c r="O15" s="2" t="s">
        <v>113</v>
      </c>
      <c r="P15" s="2" t="s">
        <v>80</v>
      </c>
      <c r="Q15" s="2" t="s">
        <v>81</v>
      </c>
      <c r="R15" s="2" t="s">
        <v>82</v>
      </c>
      <c r="S15" s="2" t="s">
        <v>120</v>
      </c>
    </row>
    <row r="16" spans="1:19" ht="58.05" customHeight="1">
      <c r="A16" s="2" t="s">
        <v>121</v>
      </c>
      <c r="B16" s="2" t="s">
        <v>122</v>
      </c>
      <c r="C16" s="2" t="s">
        <v>123</v>
      </c>
      <c r="D16" s="2" t="s">
        <v>124</v>
      </c>
      <c r="E16" s="2">
        <f>COUNTIFS(Trazabilidad!$F$7:$F$134,$A16,Trazabilidad!$B$7:$B$134,"Matriz de calidad")</f>
        <v>2</v>
      </c>
      <c r="F16" s="2">
        <f>COUNTIFS(Trazabilidad!$F$7:$F$134,$A16,Trazabilidad!$B$7:$B$134,"Matriz de riesgos")</f>
        <v>1</v>
      </c>
      <c r="G16" s="2" t="s">
        <v>125</v>
      </c>
      <c r="H16" s="2" t="s">
        <v>97</v>
      </c>
      <c r="I16" s="2" t="s">
        <v>18</v>
      </c>
      <c r="J16" s="2" t="s">
        <v>90</v>
      </c>
      <c r="K16" s="3">
        <v>46292</v>
      </c>
      <c r="L16" s="3">
        <v>46292</v>
      </c>
      <c r="M16" s="2" t="s">
        <v>126</v>
      </c>
      <c r="N16" s="2" t="s">
        <v>12</v>
      </c>
      <c r="O16" s="2" t="s">
        <v>79</v>
      </c>
      <c r="P16" s="2" t="s">
        <v>80</v>
      </c>
      <c r="Q16" s="2" t="s">
        <v>81</v>
      </c>
      <c r="R16" s="2" t="s">
        <v>82</v>
      </c>
      <c r="S16" s="2" t="s">
        <v>127</v>
      </c>
    </row>
    <row r="17" spans="1:19" ht="58.05" customHeight="1">
      <c r="A17" s="2" t="s">
        <v>128</v>
      </c>
      <c r="B17" s="2" t="s">
        <v>101</v>
      </c>
      <c r="C17" s="2" t="s">
        <v>129</v>
      </c>
      <c r="D17" s="2" t="s">
        <v>130</v>
      </c>
      <c r="E17" s="2">
        <f>COUNTIFS(Trazabilidad!$F$7:$F$134,$A17,Trazabilidad!$B$7:$B$134,"Matriz de calidad")</f>
        <v>2</v>
      </c>
      <c r="F17" s="2">
        <f>COUNTIFS(Trazabilidad!$F$7:$F$134,$A17,Trazabilidad!$B$7:$B$134,"Matriz de riesgos")</f>
        <v>1</v>
      </c>
      <c r="G17" s="2" t="s">
        <v>131</v>
      </c>
      <c r="H17" s="2" t="s">
        <v>18</v>
      </c>
      <c r="I17" s="2" t="s">
        <v>105</v>
      </c>
      <c r="J17" s="2" t="s">
        <v>77</v>
      </c>
      <c r="K17" s="3">
        <v>46292</v>
      </c>
      <c r="L17" s="3">
        <v>46292</v>
      </c>
      <c r="M17" s="2" t="s">
        <v>132</v>
      </c>
      <c r="N17" s="2" t="s">
        <v>12</v>
      </c>
      <c r="O17" s="2" t="s">
        <v>79</v>
      </c>
      <c r="P17" s="2" t="s">
        <v>80</v>
      </c>
      <c r="Q17" s="2" t="s">
        <v>81</v>
      </c>
      <c r="R17" s="2" t="s">
        <v>82</v>
      </c>
      <c r="S17" s="2" t="s">
        <v>133</v>
      </c>
    </row>
    <row r="18" spans="1:19" ht="58.05" customHeight="1">
      <c r="A18" s="2" t="s">
        <v>134</v>
      </c>
      <c r="B18" s="2" t="s">
        <v>101</v>
      </c>
      <c r="C18" s="2" t="s">
        <v>135</v>
      </c>
      <c r="D18" s="2" t="s">
        <v>136</v>
      </c>
      <c r="E18" s="2">
        <f>COUNTIFS(Trazabilidad!$F$7:$F$134,$A18,Trazabilidad!$B$7:$B$134,"Matriz de calidad")</f>
        <v>3</v>
      </c>
      <c r="F18" s="2">
        <f>COUNTIFS(Trazabilidad!$F$7:$F$134,$A18,Trazabilidad!$B$7:$B$134,"Matriz de riesgos")</f>
        <v>2</v>
      </c>
      <c r="G18" s="2" t="s">
        <v>137</v>
      </c>
      <c r="H18" s="2" t="s">
        <v>18</v>
      </c>
      <c r="I18" s="2" t="s">
        <v>105</v>
      </c>
      <c r="J18" s="2" t="s">
        <v>77</v>
      </c>
      <c r="K18" s="3">
        <v>46292</v>
      </c>
      <c r="L18" s="3">
        <v>46292</v>
      </c>
      <c r="M18" s="2" t="s">
        <v>138</v>
      </c>
      <c r="N18" s="2" t="s">
        <v>12</v>
      </c>
      <c r="O18" s="2" t="s">
        <v>79</v>
      </c>
      <c r="P18" s="2" t="s">
        <v>80</v>
      </c>
      <c r="Q18" s="2" t="s">
        <v>81</v>
      </c>
      <c r="R18" s="2" t="s">
        <v>82</v>
      </c>
      <c r="S18" s="2" t="s">
        <v>139</v>
      </c>
    </row>
    <row r="19" spans="1:19" ht="58.05" customHeight="1">
      <c r="A19" s="2" t="s">
        <v>140</v>
      </c>
      <c r="B19" s="2" t="s">
        <v>101</v>
      </c>
      <c r="C19" s="2" t="s">
        <v>141</v>
      </c>
      <c r="D19" s="2" t="s">
        <v>142</v>
      </c>
      <c r="E19" s="2">
        <f>COUNTIFS(Trazabilidad!$F$7:$F$134,$A19,Trazabilidad!$B$7:$B$134,"Matriz de calidad")</f>
        <v>2</v>
      </c>
      <c r="F19" s="2">
        <f>COUNTIFS(Trazabilidad!$F$7:$F$134,$A19,Trazabilidad!$B$7:$B$134,"Matriz de riesgos")</f>
        <v>2</v>
      </c>
      <c r="G19" s="2" t="s">
        <v>143</v>
      </c>
      <c r="H19" s="2" t="s">
        <v>105</v>
      </c>
      <c r="I19" s="2" t="s">
        <v>18</v>
      </c>
      <c r="J19" s="2" t="s">
        <v>77</v>
      </c>
      <c r="K19" s="3">
        <v>46292</v>
      </c>
      <c r="L19" s="3">
        <v>46292</v>
      </c>
      <c r="M19" s="2" t="s">
        <v>144</v>
      </c>
      <c r="N19" s="2" t="s">
        <v>12</v>
      </c>
      <c r="O19" s="2" t="s">
        <v>79</v>
      </c>
      <c r="P19" s="2" t="s">
        <v>80</v>
      </c>
      <c r="Q19" s="2" t="s">
        <v>81</v>
      </c>
      <c r="R19" s="2" t="s">
        <v>82</v>
      </c>
      <c r="S19" s="2" t="s">
        <v>145</v>
      </c>
    </row>
    <row r="20" spans="1:19" ht="58.05" customHeight="1">
      <c r="A20" s="2" t="s">
        <v>146</v>
      </c>
      <c r="B20" s="2" t="s">
        <v>147</v>
      </c>
      <c r="C20" s="2" t="s">
        <v>148</v>
      </c>
      <c r="D20" s="2" t="s">
        <v>149</v>
      </c>
      <c r="E20" s="2">
        <f>COUNTIFS(Trazabilidad!$F$7:$F$134,$A20,Trazabilidad!$B$7:$B$134,"Matriz de calidad")</f>
        <v>1</v>
      </c>
      <c r="F20" s="2">
        <f>COUNTIFS(Trazabilidad!$F$7:$F$134,$A20,Trazabilidad!$B$7:$B$134,"Matriz de riesgos")</f>
        <v>2</v>
      </c>
      <c r="G20" s="2" t="s">
        <v>150</v>
      </c>
      <c r="H20" s="2" t="s">
        <v>18</v>
      </c>
      <c r="I20" s="2" t="s">
        <v>76</v>
      </c>
      <c r="J20" s="2" t="s">
        <v>90</v>
      </c>
      <c r="K20" s="3">
        <v>46292</v>
      </c>
      <c r="L20" s="3">
        <v>46292</v>
      </c>
      <c r="M20" s="2" t="s">
        <v>151</v>
      </c>
      <c r="N20" s="2" t="s">
        <v>12</v>
      </c>
      <c r="O20" s="2" t="s">
        <v>79</v>
      </c>
      <c r="P20" s="2" t="s">
        <v>80</v>
      </c>
      <c r="Q20" s="2" t="s">
        <v>81</v>
      </c>
      <c r="R20" s="2" t="s">
        <v>82</v>
      </c>
      <c r="S20" s="2" t="s">
        <v>152</v>
      </c>
    </row>
    <row r="21" spans="1:19" ht="58.05" customHeight="1">
      <c r="A21" s="2" t="s">
        <v>153</v>
      </c>
      <c r="B21" s="2" t="s">
        <v>154</v>
      </c>
      <c r="C21" s="2" t="s">
        <v>155</v>
      </c>
      <c r="D21" s="2" t="s">
        <v>156</v>
      </c>
      <c r="E21" s="2">
        <f>COUNTIFS(Trazabilidad!$F$7:$F$134,$A21,Trazabilidad!$B$7:$B$134,"Matriz de calidad")</f>
        <v>2</v>
      </c>
      <c r="F21" s="2">
        <f>COUNTIFS(Trazabilidad!$F$7:$F$134,$A21,Trazabilidad!$B$7:$B$134,"Matriz de riesgos")</f>
        <v>2</v>
      </c>
      <c r="G21" s="2" t="s">
        <v>157</v>
      </c>
      <c r="H21" s="2" t="s">
        <v>89</v>
      </c>
      <c r="I21" s="2" t="s">
        <v>18</v>
      </c>
      <c r="J21" s="2" t="s">
        <v>77</v>
      </c>
      <c r="K21" s="3">
        <v>46293</v>
      </c>
      <c r="L21" s="3">
        <v>46293</v>
      </c>
      <c r="M21" s="2" t="s">
        <v>158</v>
      </c>
      <c r="N21" s="2" t="s">
        <v>12</v>
      </c>
      <c r="O21" s="2" t="s">
        <v>79</v>
      </c>
      <c r="P21" s="2" t="s">
        <v>80</v>
      </c>
      <c r="Q21" s="2" t="s">
        <v>81</v>
      </c>
      <c r="R21" s="2" t="s">
        <v>82</v>
      </c>
      <c r="S21" s="2" t="s">
        <v>159</v>
      </c>
    </row>
    <row r="22" spans="1:19" ht="58.05" customHeight="1">
      <c r="A22" s="2" t="s">
        <v>160</v>
      </c>
      <c r="B22" s="2" t="s">
        <v>154</v>
      </c>
      <c r="C22" s="2" t="s">
        <v>161</v>
      </c>
      <c r="D22" s="2" t="s">
        <v>162</v>
      </c>
      <c r="E22" s="2">
        <f>COUNTIFS(Trazabilidad!$F$7:$F$134,$A22,Trazabilidad!$B$7:$B$134,"Matriz de calidad")</f>
        <v>5</v>
      </c>
      <c r="F22" s="2">
        <f>COUNTIFS(Trazabilidad!$F$7:$F$134,$A22,Trazabilidad!$B$7:$B$134,"Matriz de riesgos")</f>
        <v>3</v>
      </c>
      <c r="G22" s="2" t="s">
        <v>163</v>
      </c>
      <c r="H22" s="2" t="s">
        <v>89</v>
      </c>
      <c r="I22" s="2" t="s">
        <v>18</v>
      </c>
      <c r="J22" s="2" t="s">
        <v>77</v>
      </c>
      <c r="K22" s="3">
        <v>46293</v>
      </c>
      <c r="L22" s="3"/>
      <c r="M22" s="2" t="s">
        <v>164</v>
      </c>
      <c r="N22" s="2" t="s">
        <v>17</v>
      </c>
      <c r="O22" s="2" t="s">
        <v>113</v>
      </c>
      <c r="P22" s="2" t="s">
        <v>80</v>
      </c>
      <c r="Q22" s="2" t="s">
        <v>81</v>
      </c>
      <c r="R22" s="2" t="s">
        <v>82</v>
      </c>
      <c r="S22" s="2" t="s">
        <v>165</v>
      </c>
    </row>
    <row r="23" spans="1:19" ht="58.05" customHeight="1">
      <c r="A23" s="2" t="s">
        <v>166</v>
      </c>
      <c r="B23" s="2" t="s">
        <v>167</v>
      </c>
      <c r="C23" s="2" t="s">
        <v>168</v>
      </c>
      <c r="D23" s="2" t="s">
        <v>169</v>
      </c>
      <c r="E23" s="2">
        <f>COUNTIFS(Trazabilidad!$F$7:$F$134,$A23,Trazabilidad!$B$7:$B$134,"Matriz de calidad")</f>
        <v>4</v>
      </c>
      <c r="F23" s="2">
        <f>COUNTIFS(Trazabilidad!$F$7:$F$134,$A23,Trazabilidad!$B$7:$B$134,"Matriz de riesgos")</f>
        <v>2</v>
      </c>
      <c r="G23" s="2" t="s">
        <v>170</v>
      </c>
      <c r="H23" s="2" t="s">
        <v>89</v>
      </c>
      <c r="I23" s="2" t="s">
        <v>18</v>
      </c>
      <c r="J23" s="2" t="s">
        <v>90</v>
      </c>
      <c r="K23" s="3">
        <v>46293</v>
      </c>
      <c r="L23" s="3">
        <v>46293</v>
      </c>
      <c r="M23" s="2" t="s">
        <v>171</v>
      </c>
      <c r="N23" s="2" t="s">
        <v>12</v>
      </c>
      <c r="O23" s="2" t="s">
        <v>79</v>
      </c>
      <c r="P23" s="2" t="s">
        <v>80</v>
      </c>
      <c r="Q23" s="2" t="s">
        <v>81</v>
      </c>
      <c r="R23" s="2" t="s">
        <v>82</v>
      </c>
      <c r="S23" s="2" t="s">
        <v>172</v>
      </c>
    </row>
    <row r="24" spans="1:19" ht="58.05" customHeight="1">
      <c r="A24" s="2" t="s">
        <v>173</v>
      </c>
      <c r="B24" s="2" t="s">
        <v>174</v>
      </c>
      <c r="C24" s="2" t="s">
        <v>175</v>
      </c>
      <c r="D24" s="2" t="s">
        <v>176</v>
      </c>
      <c r="E24" s="2">
        <f>COUNTIFS(Trazabilidad!$F$7:$F$134,$A24,Trazabilidad!$B$7:$B$134,"Matriz de calidad")</f>
        <v>2</v>
      </c>
      <c r="F24" s="2">
        <f>COUNTIFS(Trazabilidad!$F$7:$F$134,$A24,Trazabilidad!$B$7:$B$134,"Matriz de riesgos")</f>
        <v>2</v>
      </c>
      <c r="G24" s="2" t="s">
        <v>177</v>
      </c>
      <c r="H24" s="2" t="s">
        <v>76</v>
      </c>
      <c r="I24" s="2" t="s">
        <v>18</v>
      </c>
      <c r="J24" s="2" t="s">
        <v>90</v>
      </c>
      <c r="K24" s="3">
        <v>46293</v>
      </c>
      <c r="L24" s="3"/>
      <c r="M24" s="2" t="s">
        <v>178</v>
      </c>
      <c r="N24" s="2" t="s">
        <v>17</v>
      </c>
      <c r="O24" s="2" t="s">
        <v>113</v>
      </c>
      <c r="P24" s="2" t="s">
        <v>80</v>
      </c>
      <c r="Q24" s="2" t="s">
        <v>81</v>
      </c>
      <c r="R24" s="2" t="s">
        <v>82</v>
      </c>
      <c r="S24" s="2" t="s">
        <v>179</v>
      </c>
    </row>
    <row r="25" spans="1:19" ht="58.05" customHeight="1">
      <c r="A25" s="2" t="s">
        <v>180</v>
      </c>
      <c r="B25" s="2" t="s">
        <v>181</v>
      </c>
      <c r="C25" s="2" t="s">
        <v>182</v>
      </c>
      <c r="D25" s="2" t="s">
        <v>183</v>
      </c>
      <c r="E25" s="2">
        <f>COUNTIFS(Trazabilidad!$F$7:$F$134,$A25,Trazabilidad!$B$7:$B$134,"Matriz de calidad")</f>
        <v>10</v>
      </c>
      <c r="F25" s="2">
        <f>COUNTIFS(Trazabilidad!$F$7:$F$134,$A25,Trazabilidad!$B$7:$B$134,"Matriz de riesgos")</f>
        <v>3</v>
      </c>
      <c r="G25" s="2" t="s">
        <v>184</v>
      </c>
      <c r="H25" s="2" t="s">
        <v>89</v>
      </c>
      <c r="I25" s="2" t="s">
        <v>76</v>
      </c>
      <c r="J25" s="2" t="s">
        <v>90</v>
      </c>
      <c r="K25" s="3">
        <v>46293</v>
      </c>
      <c r="L25" s="3">
        <v>46293</v>
      </c>
      <c r="M25" s="2" t="s">
        <v>185</v>
      </c>
      <c r="N25" s="2" t="s">
        <v>12</v>
      </c>
      <c r="O25" s="2" t="s">
        <v>79</v>
      </c>
      <c r="P25" s="2" t="s">
        <v>80</v>
      </c>
      <c r="Q25" s="2" t="s">
        <v>81</v>
      </c>
      <c r="R25" s="2" t="s">
        <v>82</v>
      </c>
      <c r="S25" s="2" t="s">
        <v>186</v>
      </c>
    </row>
    <row r="26" spans="1:19" ht="58.05" customHeight="1">
      <c r="A26" s="2" t="s">
        <v>187</v>
      </c>
      <c r="B26" s="2" t="s">
        <v>122</v>
      </c>
      <c r="C26" s="2" t="s">
        <v>188</v>
      </c>
      <c r="D26" s="2" t="s">
        <v>189</v>
      </c>
      <c r="E26" s="2">
        <f>COUNTIFS(Trazabilidad!$F$7:$F$134,$A26,Trazabilidad!$B$7:$B$134,"Matriz de calidad")</f>
        <v>0</v>
      </c>
      <c r="F26" s="2">
        <f>COUNTIFS(Trazabilidad!$F$7:$F$134,$A26,Trazabilidad!$B$7:$B$134,"Matriz de riesgos")</f>
        <v>3</v>
      </c>
      <c r="G26" s="2" t="s">
        <v>190</v>
      </c>
      <c r="H26" s="2" t="s">
        <v>97</v>
      </c>
      <c r="I26" s="2" t="s">
        <v>105</v>
      </c>
      <c r="J26" s="2" t="s">
        <v>77</v>
      </c>
      <c r="K26" s="3">
        <v>46294</v>
      </c>
      <c r="L26" s="3">
        <v>46294</v>
      </c>
      <c r="M26" s="2" t="s">
        <v>191</v>
      </c>
      <c r="N26" s="2" t="s">
        <v>12</v>
      </c>
      <c r="O26" s="2" t="s">
        <v>79</v>
      </c>
      <c r="P26" s="2" t="s">
        <v>80</v>
      </c>
      <c r="Q26" s="2" t="s">
        <v>81</v>
      </c>
      <c r="R26" s="2" t="s">
        <v>82</v>
      </c>
      <c r="S26" s="2" t="s">
        <v>192</v>
      </c>
    </row>
    <row r="27" spans="1:19" ht="58.05" customHeight="1">
      <c r="A27" s="2" t="s">
        <v>193</v>
      </c>
      <c r="B27" s="2" t="s">
        <v>194</v>
      </c>
      <c r="C27" s="2" t="s">
        <v>195</v>
      </c>
      <c r="D27" s="2" t="s">
        <v>196</v>
      </c>
      <c r="E27" s="2">
        <f>COUNTIFS(Trazabilidad!$F$7:$F$134,$A27,Trazabilidad!$B$7:$B$134,"Matriz de calidad")</f>
        <v>2</v>
      </c>
      <c r="F27" s="2">
        <f>COUNTIFS(Trazabilidad!$F$7:$F$134,$A27,Trazabilidad!$B$7:$B$134,"Matriz de riesgos")</f>
        <v>2</v>
      </c>
      <c r="G27" s="2" t="s">
        <v>197</v>
      </c>
      <c r="H27" s="2" t="s">
        <v>105</v>
      </c>
      <c r="I27" s="2" t="s">
        <v>18</v>
      </c>
      <c r="J27" s="2" t="s">
        <v>90</v>
      </c>
      <c r="K27" s="3">
        <v>46294</v>
      </c>
      <c r="L27" s="3">
        <v>46294</v>
      </c>
      <c r="M27" s="2" t="s">
        <v>198</v>
      </c>
      <c r="N27" s="2" t="s">
        <v>12</v>
      </c>
      <c r="O27" s="2" t="s">
        <v>79</v>
      </c>
      <c r="P27" s="2" t="s">
        <v>80</v>
      </c>
      <c r="Q27" s="2" t="s">
        <v>81</v>
      </c>
      <c r="R27" s="2" t="s">
        <v>82</v>
      </c>
      <c r="S27" s="2" t="s">
        <v>199</v>
      </c>
    </row>
    <row r="28" spans="1:19" ht="58.05" customHeight="1">
      <c r="A28" s="2" t="s">
        <v>200</v>
      </c>
      <c r="B28" s="2" t="s">
        <v>201</v>
      </c>
      <c r="C28" s="2" t="s">
        <v>202</v>
      </c>
      <c r="D28" s="2" t="s">
        <v>203</v>
      </c>
      <c r="E28" s="2">
        <f>COUNTIFS(Trazabilidad!$F$7:$F$134,$A28,Trazabilidad!$B$7:$B$134,"Matriz de calidad")</f>
        <v>5</v>
      </c>
      <c r="F28" s="2">
        <f>COUNTIFS(Trazabilidad!$F$7:$F$134,$A28,Trazabilidad!$B$7:$B$134,"Matriz de riesgos")</f>
        <v>1</v>
      </c>
      <c r="G28" s="2" t="s">
        <v>204</v>
      </c>
      <c r="H28" s="2" t="s">
        <v>105</v>
      </c>
      <c r="I28" s="2" t="s">
        <v>97</v>
      </c>
      <c r="J28" s="2" t="s">
        <v>90</v>
      </c>
      <c r="K28" s="3">
        <v>46294</v>
      </c>
      <c r="L28" s="3">
        <v>46294</v>
      </c>
      <c r="M28" s="2" t="s">
        <v>205</v>
      </c>
      <c r="N28" s="2" t="s">
        <v>12</v>
      </c>
      <c r="O28" s="2" t="s">
        <v>79</v>
      </c>
      <c r="P28" s="2" t="s">
        <v>80</v>
      </c>
      <c r="Q28" s="2" t="s">
        <v>81</v>
      </c>
      <c r="R28" s="2" t="s">
        <v>82</v>
      </c>
      <c r="S28" s="2" t="s">
        <v>206</v>
      </c>
    </row>
    <row r="29" spans="1:19" ht="58.05" customHeight="1">
      <c r="A29" s="2" t="s">
        <v>207</v>
      </c>
      <c r="B29" s="2" t="s">
        <v>208</v>
      </c>
      <c r="C29" s="2" t="s">
        <v>209</v>
      </c>
      <c r="D29" s="2" t="s">
        <v>210</v>
      </c>
      <c r="E29" s="2">
        <f>COUNTIFS(Trazabilidad!$F$7:$F$134,$A29,Trazabilidad!$B$7:$B$134,"Matriz de calidad")</f>
        <v>0</v>
      </c>
      <c r="F29" s="2">
        <f>COUNTIFS(Trazabilidad!$F$7:$F$134,$A29,Trazabilidad!$B$7:$B$134,"Matriz de riesgos")</f>
        <v>1</v>
      </c>
      <c r="G29" s="2" t="s">
        <v>211</v>
      </c>
      <c r="H29" s="2" t="s">
        <v>105</v>
      </c>
      <c r="I29" s="2" t="s">
        <v>18</v>
      </c>
      <c r="J29" s="2" t="s">
        <v>77</v>
      </c>
      <c r="K29" s="3">
        <v>46294</v>
      </c>
      <c r="L29" s="3"/>
      <c r="M29" s="2" t="s">
        <v>212</v>
      </c>
      <c r="N29" s="2" t="s">
        <v>17</v>
      </c>
      <c r="O29" s="2" t="s">
        <v>113</v>
      </c>
      <c r="P29" s="2" t="s">
        <v>80</v>
      </c>
      <c r="Q29" s="2" t="s">
        <v>81</v>
      </c>
      <c r="R29" s="2" t="s">
        <v>82</v>
      </c>
      <c r="S29" s="2" t="s">
        <v>213</v>
      </c>
    </row>
    <row r="30" spans="1:19" ht="58.05" customHeight="1">
      <c r="A30" s="2" t="s">
        <v>214</v>
      </c>
      <c r="B30" s="2" t="s">
        <v>215</v>
      </c>
      <c r="C30" s="2" t="s">
        <v>216</v>
      </c>
      <c r="D30" s="2" t="s">
        <v>217</v>
      </c>
      <c r="E30" s="2">
        <f>COUNTIFS(Trazabilidad!$F$7:$F$134,$A30,Trazabilidad!$B$7:$B$134,"Matriz de calidad")</f>
        <v>0</v>
      </c>
      <c r="F30" s="2">
        <f>COUNTIFS(Trazabilidad!$F$7:$F$134,$A30,Trazabilidad!$B$7:$B$134,"Matriz de riesgos")</f>
        <v>3</v>
      </c>
      <c r="G30" s="2" t="s">
        <v>218</v>
      </c>
      <c r="H30" s="2" t="s">
        <v>76</v>
      </c>
      <c r="I30" s="2" t="s">
        <v>13</v>
      </c>
      <c r="J30" s="2" t="s">
        <v>77</v>
      </c>
      <c r="K30" s="3">
        <v>46294</v>
      </c>
      <c r="L30" s="3">
        <v>46295</v>
      </c>
      <c r="M30" s="2" t="s">
        <v>219</v>
      </c>
      <c r="N30" s="2" t="s">
        <v>12</v>
      </c>
      <c r="O30" s="2" t="s">
        <v>79</v>
      </c>
      <c r="P30" s="2" t="s">
        <v>80</v>
      </c>
      <c r="Q30" s="2" t="s">
        <v>81</v>
      </c>
      <c r="R30" s="2" t="s">
        <v>82</v>
      </c>
      <c r="S30" s="2" t="s">
        <v>220</v>
      </c>
    </row>
    <row r="31" spans="1:19" ht="58.05" customHeight="1">
      <c r="A31" s="2" t="s">
        <v>221</v>
      </c>
      <c r="B31" s="2" t="s">
        <v>222</v>
      </c>
      <c r="C31" s="2" t="s">
        <v>223</v>
      </c>
      <c r="D31" s="2" t="s">
        <v>224</v>
      </c>
      <c r="E31" s="2">
        <f>COUNTIFS(Trazabilidad!$F$7:$F$134,$A31,Trazabilidad!$B$7:$B$134,"Matriz de calidad")</f>
        <v>0</v>
      </c>
      <c r="F31" s="2">
        <f>COUNTIFS(Trazabilidad!$F$7:$F$134,$A31,Trazabilidad!$B$7:$B$134,"Matriz de riesgos")</f>
        <v>1</v>
      </c>
      <c r="G31" s="2" t="s">
        <v>225</v>
      </c>
      <c r="H31" s="2" t="s">
        <v>18</v>
      </c>
      <c r="I31" s="2" t="s">
        <v>76</v>
      </c>
      <c r="J31" s="2" t="s">
        <v>77</v>
      </c>
      <c r="K31" s="3">
        <v>46295</v>
      </c>
      <c r="L31" s="3"/>
      <c r="M31" s="2" t="s">
        <v>226</v>
      </c>
      <c r="N31" s="2" t="s">
        <v>17</v>
      </c>
      <c r="O31" s="2" t="s">
        <v>113</v>
      </c>
      <c r="P31" s="2" t="s">
        <v>80</v>
      </c>
      <c r="Q31" s="2" t="s">
        <v>81</v>
      </c>
      <c r="R31" s="2" t="s">
        <v>82</v>
      </c>
      <c r="S31" s="2" t="s">
        <v>227</v>
      </c>
    </row>
    <row r="32" spans="1:19" ht="58.05" customHeight="1">
      <c r="A32" s="2" t="s">
        <v>228</v>
      </c>
      <c r="B32" s="2" t="s">
        <v>222</v>
      </c>
      <c r="C32" s="2" t="s">
        <v>229</v>
      </c>
      <c r="D32" s="2" t="s">
        <v>230</v>
      </c>
      <c r="E32" s="2">
        <f>COUNTIFS(Trazabilidad!$F$7:$F$134,$A32,Trazabilidad!$B$7:$B$134,"Matriz de calidad")</f>
        <v>1</v>
      </c>
      <c r="F32" s="2">
        <f>COUNTIFS(Trazabilidad!$F$7:$F$134,$A32,Trazabilidad!$B$7:$B$134,"Matriz de riesgos")</f>
        <v>2</v>
      </c>
      <c r="G32" s="2" t="s">
        <v>231</v>
      </c>
      <c r="H32" s="2" t="s">
        <v>18</v>
      </c>
      <c r="I32" s="2" t="s">
        <v>13</v>
      </c>
      <c r="J32" s="2" t="s">
        <v>90</v>
      </c>
      <c r="K32" s="3">
        <v>46295</v>
      </c>
      <c r="L32" s="3">
        <v>46296</v>
      </c>
      <c r="M32" s="2" t="s">
        <v>232</v>
      </c>
      <c r="N32" s="2" t="s">
        <v>12</v>
      </c>
      <c r="O32" s="2" t="s">
        <v>79</v>
      </c>
      <c r="P32" s="2" t="s">
        <v>80</v>
      </c>
      <c r="Q32" s="2" t="s">
        <v>81</v>
      </c>
      <c r="R32" s="2" t="s">
        <v>82</v>
      </c>
      <c r="S32" s="2" t="s">
        <v>233</v>
      </c>
    </row>
    <row r="33" spans="1:19" ht="58.05" customHeight="1">
      <c r="A33" s="2" t="s">
        <v>234</v>
      </c>
      <c r="B33" s="2" t="s">
        <v>235</v>
      </c>
      <c r="C33" s="2" t="s">
        <v>236</v>
      </c>
      <c r="D33" s="2" t="s">
        <v>237</v>
      </c>
      <c r="E33" s="2">
        <f>COUNTIFS(Trazabilidad!$F$7:$F$134,$A33,Trazabilidad!$B$7:$B$134,"Matriz de calidad")</f>
        <v>1</v>
      </c>
      <c r="F33" s="2">
        <f>COUNTIFS(Trazabilidad!$F$7:$F$134,$A33,Trazabilidad!$B$7:$B$134,"Matriz de riesgos")</f>
        <v>4</v>
      </c>
      <c r="G33" s="2" t="s">
        <v>238</v>
      </c>
      <c r="H33" s="2" t="s">
        <v>13</v>
      </c>
      <c r="I33" s="2" t="s">
        <v>76</v>
      </c>
      <c r="J33" s="2" t="s">
        <v>77</v>
      </c>
      <c r="K33" s="3">
        <v>46295</v>
      </c>
      <c r="L33" s="3"/>
      <c r="M33" s="2" t="s">
        <v>239</v>
      </c>
      <c r="N33" s="2" t="s">
        <v>17</v>
      </c>
      <c r="O33" s="2" t="s">
        <v>113</v>
      </c>
      <c r="P33" s="2" t="s">
        <v>80</v>
      </c>
      <c r="Q33" s="2" t="s">
        <v>81</v>
      </c>
      <c r="R33" s="2" t="s">
        <v>82</v>
      </c>
      <c r="S33" s="2" t="s">
        <v>240</v>
      </c>
    </row>
    <row r="34" spans="1:19" ht="58.05" customHeight="1">
      <c r="A34" s="2" t="s">
        <v>241</v>
      </c>
      <c r="B34" s="2" t="s">
        <v>222</v>
      </c>
      <c r="C34" s="2" t="s">
        <v>242</v>
      </c>
      <c r="D34" s="2" t="s">
        <v>243</v>
      </c>
      <c r="E34" s="2">
        <f>COUNTIFS(Trazabilidad!$F$7:$F$134,$A34,Trazabilidad!$B$7:$B$134,"Matriz de calidad")</f>
        <v>0</v>
      </c>
      <c r="F34" s="2">
        <f>COUNTIFS(Trazabilidad!$F$7:$F$134,$A34,Trazabilidad!$B$7:$B$134,"Matriz de riesgos")</f>
        <v>0</v>
      </c>
      <c r="G34" s="2" t="s">
        <v>244</v>
      </c>
      <c r="H34" s="2" t="s">
        <v>18</v>
      </c>
      <c r="I34" s="2" t="s">
        <v>13</v>
      </c>
      <c r="J34" s="2" t="s">
        <v>77</v>
      </c>
      <c r="K34" s="3">
        <v>46295</v>
      </c>
      <c r="L34" s="3">
        <v>46296</v>
      </c>
      <c r="M34" s="2" t="s">
        <v>245</v>
      </c>
      <c r="N34" s="2" t="s">
        <v>12</v>
      </c>
      <c r="O34" s="2" t="s">
        <v>79</v>
      </c>
      <c r="P34" s="2" t="s">
        <v>80</v>
      </c>
      <c r="Q34" s="2" t="s">
        <v>81</v>
      </c>
      <c r="R34" s="2" t="s">
        <v>82</v>
      </c>
      <c r="S34" s="2" t="s">
        <v>246</v>
      </c>
    </row>
    <row r="35" spans="1:19" ht="58.05" customHeight="1">
      <c r="A35" s="2" t="s">
        <v>247</v>
      </c>
      <c r="B35" s="2" t="s">
        <v>59</v>
      </c>
      <c r="C35" s="2" t="s">
        <v>248</v>
      </c>
      <c r="D35" s="2" t="s">
        <v>249</v>
      </c>
      <c r="E35" s="2">
        <f>COUNTIFS(Trazabilidad!$F$7:$F$134,$A35,Trazabilidad!$B$7:$B$134,"Matriz de calidad")</f>
        <v>0</v>
      </c>
      <c r="F35" s="2">
        <f>COUNTIFS(Trazabilidad!$F$7:$F$134,$A35,Trazabilidad!$B$7:$B$134,"Matriz de riesgos")</f>
        <v>0</v>
      </c>
      <c r="G35" s="2" t="s">
        <v>244</v>
      </c>
      <c r="H35" s="2" t="s">
        <v>105</v>
      </c>
      <c r="I35" s="2" t="s">
        <v>13</v>
      </c>
      <c r="J35" s="2" t="s">
        <v>77</v>
      </c>
      <c r="K35" s="3">
        <v>46295</v>
      </c>
      <c r="L35" s="3">
        <v>46296</v>
      </c>
      <c r="M35" s="2" t="s">
        <v>250</v>
      </c>
      <c r="N35" s="2" t="s">
        <v>12</v>
      </c>
      <c r="O35" s="2" t="s">
        <v>79</v>
      </c>
      <c r="P35" s="2" t="s">
        <v>80</v>
      </c>
      <c r="Q35" s="2" t="s">
        <v>81</v>
      </c>
      <c r="R35" s="2" t="s">
        <v>82</v>
      </c>
      <c r="S35" s="2" t="s">
        <v>251</v>
      </c>
    </row>
    <row r="36" spans="1:19" ht="58.05" customHeight="1">
      <c r="A36" s="2" t="s">
        <v>252</v>
      </c>
      <c r="B36" s="2" t="s">
        <v>253</v>
      </c>
      <c r="C36" s="2" t="s">
        <v>254</v>
      </c>
      <c r="D36" s="2" t="s">
        <v>255</v>
      </c>
      <c r="E36" s="2">
        <f>COUNTIFS(Trazabilidad!$F$7:$F$134,$A36,Trazabilidad!$B$7:$B$134,"Matriz de calidad")</f>
        <v>2</v>
      </c>
      <c r="F36" s="2">
        <f>COUNTIFS(Trazabilidad!$F$7:$F$134,$A36,Trazabilidad!$B$7:$B$134,"Matriz de riesgos")</f>
        <v>2</v>
      </c>
      <c r="G36" s="2" t="s">
        <v>256</v>
      </c>
      <c r="H36" s="2" t="s">
        <v>13</v>
      </c>
      <c r="I36" s="2" t="s">
        <v>76</v>
      </c>
      <c r="J36" s="2" t="s">
        <v>77</v>
      </c>
      <c r="K36" s="3">
        <v>46296</v>
      </c>
      <c r="L36" s="3"/>
      <c r="M36" s="2" t="s">
        <v>257</v>
      </c>
      <c r="N36" s="2" t="s">
        <v>17</v>
      </c>
      <c r="O36" s="2" t="s">
        <v>113</v>
      </c>
      <c r="P36" s="2" t="s">
        <v>80</v>
      </c>
      <c r="Q36" s="2" t="s">
        <v>81</v>
      </c>
      <c r="R36" s="2" t="s">
        <v>82</v>
      </c>
      <c r="S36" s="2" t="s">
        <v>258</v>
      </c>
    </row>
    <row r="37" spans="1:19" ht="58.05" customHeight="1">
      <c r="A37" s="2" t="s">
        <v>259</v>
      </c>
      <c r="B37" s="2" t="s">
        <v>260</v>
      </c>
      <c r="C37" s="2" t="s">
        <v>261</v>
      </c>
      <c r="D37" s="2" t="s">
        <v>262</v>
      </c>
      <c r="E37" s="2">
        <f>COUNTIFS(Trazabilidad!$F$7:$F$134,$A37,Trazabilidad!$B$7:$B$134,"Matriz de calidad")</f>
        <v>2</v>
      </c>
      <c r="F37" s="2">
        <f>COUNTIFS(Trazabilidad!$F$7:$F$134,$A37,Trazabilidad!$B$7:$B$134,"Matriz de riesgos")</f>
        <v>1</v>
      </c>
      <c r="G37" s="2" t="s">
        <v>263</v>
      </c>
      <c r="H37" s="2" t="s">
        <v>76</v>
      </c>
      <c r="I37" s="2" t="s">
        <v>18</v>
      </c>
      <c r="J37" s="2" t="s">
        <v>77</v>
      </c>
      <c r="K37" s="3">
        <v>46296</v>
      </c>
      <c r="L37" s="3"/>
      <c r="M37" s="2" t="s">
        <v>264</v>
      </c>
      <c r="N37" s="2" t="s">
        <v>17</v>
      </c>
      <c r="O37" s="2" t="s">
        <v>113</v>
      </c>
      <c r="P37" s="2" t="s">
        <v>80</v>
      </c>
      <c r="Q37" s="2" t="s">
        <v>81</v>
      </c>
      <c r="R37" s="2" t="s">
        <v>82</v>
      </c>
      <c r="S37" s="2" t="s">
        <v>265</v>
      </c>
    </row>
    <row r="38" spans="1:19" ht="58.05" customHeight="1">
      <c r="A38" s="2" t="s">
        <v>266</v>
      </c>
      <c r="B38" s="2" t="s">
        <v>267</v>
      </c>
      <c r="C38" s="2" t="s">
        <v>268</v>
      </c>
      <c r="D38" s="2" t="s">
        <v>269</v>
      </c>
      <c r="E38" s="2">
        <f>COUNTIFS(Trazabilidad!$F$7:$F$134,$A38,Trazabilidad!$B$7:$B$134,"Matriz de calidad")</f>
        <v>1</v>
      </c>
      <c r="F38" s="2">
        <f>COUNTIFS(Trazabilidad!$F$7:$F$134,$A38,Trazabilidad!$B$7:$B$134,"Matriz de riesgos")</f>
        <v>1</v>
      </c>
      <c r="G38" s="2" t="s">
        <v>270</v>
      </c>
      <c r="H38" s="2" t="s">
        <v>105</v>
      </c>
      <c r="I38" s="2" t="s">
        <v>76</v>
      </c>
      <c r="J38" s="2" t="s">
        <v>90</v>
      </c>
      <c r="K38" s="3">
        <v>46296</v>
      </c>
      <c r="L38" s="3">
        <v>46296</v>
      </c>
      <c r="M38" s="2" t="s">
        <v>271</v>
      </c>
      <c r="N38" s="2" t="s">
        <v>12</v>
      </c>
      <c r="O38" s="2" t="s">
        <v>79</v>
      </c>
      <c r="P38" s="2" t="s">
        <v>80</v>
      </c>
      <c r="Q38" s="2" t="s">
        <v>81</v>
      </c>
      <c r="R38" s="2" t="s">
        <v>82</v>
      </c>
      <c r="S38" s="2" t="s">
        <v>272</v>
      </c>
    </row>
    <row r="39" spans="1:19" ht="58.05" customHeight="1">
      <c r="A39" s="2" t="s">
        <v>273</v>
      </c>
      <c r="B39" s="2" t="s">
        <v>274</v>
      </c>
      <c r="C39" s="2" t="s">
        <v>275</v>
      </c>
      <c r="D39" s="2" t="s">
        <v>276</v>
      </c>
      <c r="E39" s="2">
        <f>COUNTIFS(Trazabilidad!$F$7:$F$134,$A39,Trazabilidad!$B$7:$B$134,"Matriz de calidad")</f>
        <v>1</v>
      </c>
      <c r="F39" s="2">
        <f>COUNTIFS(Trazabilidad!$F$7:$F$134,$A39,Trazabilidad!$B$7:$B$134,"Matriz de riesgos")</f>
        <v>1</v>
      </c>
      <c r="G39" s="2" t="s">
        <v>277</v>
      </c>
      <c r="H39" s="2" t="s">
        <v>76</v>
      </c>
      <c r="I39" s="2" t="s">
        <v>13</v>
      </c>
      <c r="J39" s="2" t="s">
        <v>77</v>
      </c>
      <c r="K39" s="3">
        <v>46296</v>
      </c>
      <c r="L39" s="3">
        <v>46296</v>
      </c>
      <c r="M39" s="2" t="s">
        <v>278</v>
      </c>
      <c r="N39" s="2" t="s">
        <v>12</v>
      </c>
      <c r="O39" s="2" t="s">
        <v>79</v>
      </c>
      <c r="P39" s="2" t="s">
        <v>80</v>
      </c>
      <c r="Q39" s="2" t="s">
        <v>81</v>
      </c>
      <c r="R39" s="2" t="s">
        <v>82</v>
      </c>
      <c r="S39" s="2" t="s">
        <v>279</v>
      </c>
    </row>
    <row r="40" spans="1:19" ht="58.05" customHeight="1">
      <c r="A40" s="2" t="s">
        <v>280</v>
      </c>
      <c r="B40" s="2" t="s">
        <v>281</v>
      </c>
      <c r="C40" s="2" t="s">
        <v>282</v>
      </c>
      <c r="D40" s="2" t="s">
        <v>283</v>
      </c>
      <c r="E40" s="2">
        <f>COUNTIFS(Trazabilidad!$F$7:$F$134,$A40,Trazabilidad!$B$7:$B$134,"Matriz de calidad")</f>
        <v>0</v>
      </c>
      <c r="F40" s="2">
        <f>COUNTIFS(Trazabilidad!$F$7:$F$134,$A40,Trazabilidad!$B$7:$B$134,"Matriz de riesgos")</f>
        <v>1</v>
      </c>
      <c r="G40" s="2" t="s">
        <v>284</v>
      </c>
      <c r="H40" s="2" t="s">
        <v>13</v>
      </c>
      <c r="I40" s="2" t="s">
        <v>18</v>
      </c>
      <c r="J40" s="2" t="s">
        <v>77</v>
      </c>
      <c r="K40" s="3">
        <v>46296</v>
      </c>
      <c r="L40" s="3"/>
      <c r="M40" s="2" t="s">
        <v>285</v>
      </c>
      <c r="N40" s="2" t="s">
        <v>17</v>
      </c>
      <c r="O40" s="2" t="s">
        <v>113</v>
      </c>
      <c r="P40" s="2" t="s">
        <v>80</v>
      </c>
      <c r="Q40" s="2" t="s">
        <v>81</v>
      </c>
      <c r="R40" s="2" t="s">
        <v>82</v>
      </c>
      <c r="S40" s="2" t="s">
        <v>286</v>
      </c>
    </row>
    <row r="41" spans="1:19" ht="58.05" customHeight="1">
      <c r="A41" s="2" t="s">
        <v>287</v>
      </c>
      <c r="B41" s="2" t="s">
        <v>288</v>
      </c>
      <c r="C41" s="2" t="s">
        <v>289</v>
      </c>
      <c r="D41" s="2" t="s">
        <v>290</v>
      </c>
      <c r="E41" s="2">
        <f>COUNTIFS(Trazabilidad!$F$7:$F$134,$A41,Trazabilidad!$B$7:$B$134,"Matriz de calidad")</f>
        <v>1</v>
      </c>
      <c r="F41" s="2">
        <f>COUNTIFS(Trazabilidad!$F$7:$F$134,$A41,Trazabilidad!$B$7:$B$134,"Matriz de riesgos")</f>
        <v>2</v>
      </c>
      <c r="G41" s="2" t="s">
        <v>291</v>
      </c>
      <c r="H41" s="2" t="s">
        <v>105</v>
      </c>
      <c r="I41" s="2" t="s">
        <v>13</v>
      </c>
      <c r="J41" s="2" t="s">
        <v>77</v>
      </c>
      <c r="K41" s="3">
        <v>46296</v>
      </c>
      <c r="L41" s="3"/>
      <c r="M41" s="2" t="s">
        <v>292</v>
      </c>
      <c r="N41" s="2" t="s">
        <v>17</v>
      </c>
      <c r="O41" s="2" t="s">
        <v>113</v>
      </c>
      <c r="P41" s="2" t="s">
        <v>80</v>
      </c>
      <c r="Q41" s="2" t="s">
        <v>81</v>
      </c>
      <c r="R41" s="2" t="s">
        <v>82</v>
      </c>
      <c r="S41" s="2" t="s">
        <v>293</v>
      </c>
    </row>
    <row r="42" spans="1:19" ht="58.05" customHeight="1">
      <c r="A42" s="2" t="s">
        <v>294</v>
      </c>
      <c r="B42" s="2" t="s">
        <v>101</v>
      </c>
      <c r="C42" s="2" t="s">
        <v>295</v>
      </c>
      <c r="D42" s="2" t="s">
        <v>296</v>
      </c>
      <c r="E42" s="2">
        <f>COUNTIFS(Trazabilidad!$F$7:$F$134,$A42,Trazabilidad!$B$7:$B$134,"Matriz de calidad")</f>
        <v>1</v>
      </c>
      <c r="F42" s="2">
        <f>COUNTIFS(Trazabilidad!$F$7:$F$134,$A42,Trazabilidad!$B$7:$B$134,"Matriz de riesgos")</f>
        <v>0</v>
      </c>
      <c r="G42" s="2" t="s">
        <v>297</v>
      </c>
      <c r="H42" s="2" t="s">
        <v>97</v>
      </c>
      <c r="I42" s="2" t="s">
        <v>18</v>
      </c>
      <c r="J42" s="2" t="s">
        <v>90</v>
      </c>
      <c r="K42" s="3">
        <v>46296</v>
      </c>
      <c r="L42" s="3"/>
      <c r="M42" s="2" t="s">
        <v>298</v>
      </c>
      <c r="N42" s="2" t="s">
        <v>17</v>
      </c>
      <c r="O42" s="2" t="s">
        <v>113</v>
      </c>
      <c r="P42" s="2" t="s">
        <v>80</v>
      </c>
      <c r="Q42" s="2" t="s">
        <v>81</v>
      </c>
      <c r="R42" s="2" t="s">
        <v>82</v>
      </c>
      <c r="S42" s="2" t="s">
        <v>299</v>
      </c>
    </row>
    <row r="43" spans="1:19" ht="66">
      <c r="A43" s="2" t="s">
        <v>300</v>
      </c>
      <c r="B43" s="2" t="s">
        <v>301</v>
      </c>
      <c r="C43" s="2" t="s">
        <v>302</v>
      </c>
      <c r="D43" s="2" t="s">
        <v>303</v>
      </c>
      <c r="E43" s="2">
        <f>COUNTIFS(Trazabilidad!$F$7:$F$134,$A43,Trazabilidad!$B$7:$B$134,"Matriz de calidad")</f>
        <v>0</v>
      </c>
      <c r="F43" s="2">
        <f>COUNTIFS(Trazabilidad!$F$7:$F$134,$A43,Trazabilidad!$B$7:$B$134,"Matriz de riesgos")</f>
        <v>0</v>
      </c>
      <c r="G43" s="2" t="s">
        <v>111</v>
      </c>
      <c r="H43" s="2" t="s">
        <v>97</v>
      </c>
      <c r="I43" s="2" t="s">
        <v>18</v>
      </c>
      <c r="J43" s="2" t="s">
        <v>77</v>
      </c>
      <c r="K43" s="3">
        <v>46297</v>
      </c>
      <c r="L43" s="3"/>
      <c r="M43" s="2" t="s">
        <v>848</v>
      </c>
      <c r="N43" s="2" t="s">
        <v>20</v>
      </c>
      <c r="O43" s="2" t="s">
        <v>304</v>
      </c>
      <c r="P43" s="2" t="s">
        <v>305</v>
      </c>
      <c r="Q43" s="2" t="s">
        <v>849</v>
      </c>
      <c r="R43" s="2" t="s">
        <v>850</v>
      </c>
      <c r="S43" s="2" t="s">
        <v>851</v>
      </c>
    </row>
    <row r="44" spans="1:19" ht="52.8">
      <c r="A44" s="2" t="s">
        <v>306</v>
      </c>
      <c r="B44" s="2" t="s">
        <v>301</v>
      </c>
      <c r="C44" s="2" t="s">
        <v>307</v>
      </c>
      <c r="D44" s="2" t="s">
        <v>308</v>
      </c>
      <c r="E44" s="2">
        <f>COUNTIFS(Trazabilidad!$F$7:$F$134,$A44,Trazabilidad!$B$7:$B$134,"Matriz de calidad")</f>
        <v>0</v>
      </c>
      <c r="F44" s="2">
        <f>COUNTIFS(Trazabilidad!$F$7:$F$134,$A44,Trazabilidad!$B$7:$B$134,"Matriz de riesgos")</f>
        <v>0</v>
      </c>
      <c r="G44" s="2" t="s">
        <v>104</v>
      </c>
      <c r="H44" s="2" t="s">
        <v>97</v>
      </c>
      <c r="I44" s="2" t="s">
        <v>18</v>
      </c>
      <c r="J44" s="2" t="s">
        <v>77</v>
      </c>
      <c r="K44" s="3">
        <v>46297</v>
      </c>
      <c r="L44" s="3"/>
      <c r="M44" s="2" t="s">
        <v>852</v>
      </c>
      <c r="N44" s="2" t="s">
        <v>20</v>
      </c>
      <c r="O44" s="2" t="s">
        <v>304</v>
      </c>
      <c r="P44" s="2" t="s">
        <v>305</v>
      </c>
      <c r="Q44" s="2" t="s">
        <v>849</v>
      </c>
      <c r="R44" s="2" t="s">
        <v>850</v>
      </c>
      <c r="S44" s="2" t="s">
        <v>853</v>
      </c>
    </row>
    <row r="45" spans="1:19" ht="52.8">
      <c r="A45" s="2" t="s">
        <v>309</v>
      </c>
      <c r="B45" s="2" t="s">
        <v>310</v>
      </c>
      <c r="C45" s="2" t="s">
        <v>311</v>
      </c>
      <c r="D45" s="2" t="s">
        <v>312</v>
      </c>
      <c r="E45" s="2">
        <f>COUNTIFS(Trazabilidad!$F$7:$F$134,$A45,Trazabilidad!$B$7:$B$134,"Matriz de calidad")</f>
        <v>0</v>
      </c>
      <c r="F45" s="2">
        <f>COUNTIFS(Trazabilidad!$F$7:$F$134,$A45,Trazabilidad!$B$7:$B$134,"Matriz de riesgos")</f>
        <v>0</v>
      </c>
      <c r="G45" s="2" t="s">
        <v>111</v>
      </c>
      <c r="H45" s="2" t="s">
        <v>97</v>
      </c>
      <c r="I45" s="2" t="s">
        <v>18</v>
      </c>
      <c r="J45" s="2" t="s">
        <v>90</v>
      </c>
      <c r="K45" s="3">
        <v>46298</v>
      </c>
      <c r="L45" s="3"/>
      <c r="M45" s="2" t="s">
        <v>854</v>
      </c>
      <c r="N45" s="2" t="s">
        <v>20</v>
      </c>
      <c r="O45" s="2" t="s">
        <v>304</v>
      </c>
      <c r="P45" s="2" t="s">
        <v>305</v>
      </c>
      <c r="Q45" s="2" t="s">
        <v>849</v>
      </c>
      <c r="R45" s="2" t="s">
        <v>850</v>
      </c>
      <c r="S45" s="2" t="s">
        <v>855</v>
      </c>
    </row>
    <row r="46" spans="1:19" ht="52.8">
      <c r="A46" s="2" t="s">
        <v>313</v>
      </c>
      <c r="B46" s="2" t="s">
        <v>314</v>
      </c>
      <c r="C46" s="2" t="s">
        <v>315</v>
      </c>
      <c r="D46" s="2" t="s">
        <v>316</v>
      </c>
      <c r="E46" s="2">
        <f>COUNTIFS(Trazabilidad!$F$7:$F$134,$A46,Trazabilidad!$B$7:$B$134,"Matriz de calidad")</f>
        <v>0</v>
      </c>
      <c r="F46" s="2">
        <f>COUNTIFS(Trazabilidad!$F$7:$F$134,$A46,Trazabilidad!$B$7:$B$134,"Matriz de riesgos")</f>
        <v>0</v>
      </c>
      <c r="G46" s="2" t="s">
        <v>111</v>
      </c>
      <c r="H46" s="2" t="s">
        <v>105</v>
      </c>
      <c r="I46" s="2" t="s">
        <v>18</v>
      </c>
      <c r="J46" s="2" t="s">
        <v>77</v>
      </c>
      <c r="K46" s="3">
        <v>46298</v>
      </c>
      <c r="L46" s="3"/>
      <c r="M46" s="2" t="s">
        <v>856</v>
      </c>
      <c r="N46" s="2" t="s">
        <v>20</v>
      </c>
      <c r="O46" s="2" t="s">
        <v>304</v>
      </c>
      <c r="P46" s="2" t="s">
        <v>305</v>
      </c>
      <c r="Q46" s="2" t="s">
        <v>849</v>
      </c>
      <c r="R46" s="2" t="s">
        <v>850</v>
      </c>
      <c r="S46" s="2" t="s">
        <v>857</v>
      </c>
    </row>
    <row r="47" spans="1:19" ht="52.8">
      <c r="A47" s="2" t="s">
        <v>317</v>
      </c>
      <c r="B47" s="2" t="s">
        <v>318</v>
      </c>
      <c r="C47" s="2" t="s">
        <v>319</v>
      </c>
      <c r="D47" s="2" t="s">
        <v>320</v>
      </c>
      <c r="E47" s="2">
        <f>COUNTIFS(Trazabilidad!$F$7:$F$134,$A47,Trazabilidad!$B$7:$B$134,"Matriz de calidad")</f>
        <v>0</v>
      </c>
      <c r="F47" s="2">
        <f>COUNTIFS(Trazabilidad!$F$7:$F$134,$A47,Trazabilidad!$B$7:$B$134,"Matriz de riesgos")</f>
        <v>0</v>
      </c>
      <c r="G47" s="2" t="s">
        <v>111</v>
      </c>
      <c r="H47" s="2" t="s">
        <v>97</v>
      </c>
      <c r="I47" s="2" t="s">
        <v>18</v>
      </c>
      <c r="J47" s="2" t="s">
        <v>90</v>
      </c>
      <c r="K47" s="3">
        <v>46297</v>
      </c>
      <c r="L47" s="3"/>
      <c r="M47" s="2" t="s">
        <v>858</v>
      </c>
      <c r="N47" s="2" t="s">
        <v>20</v>
      </c>
      <c r="O47" s="2" t="s">
        <v>304</v>
      </c>
      <c r="P47" s="2" t="s">
        <v>305</v>
      </c>
      <c r="Q47" s="2" t="s">
        <v>849</v>
      </c>
      <c r="R47" s="2" t="s">
        <v>850</v>
      </c>
      <c r="S47" s="2" t="s">
        <v>859</v>
      </c>
    </row>
    <row r="48" spans="1:19" ht="52.8">
      <c r="A48" s="2" t="s">
        <v>321</v>
      </c>
      <c r="B48" s="2" t="s">
        <v>322</v>
      </c>
      <c r="C48" s="2" t="s">
        <v>323</v>
      </c>
      <c r="D48" s="2" t="s">
        <v>324</v>
      </c>
      <c r="E48" s="2">
        <f>COUNTIFS(Trazabilidad!$F$7:$F$134,$A48,Trazabilidad!$B$7:$B$134,"Matriz de calidad")</f>
        <v>0</v>
      </c>
      <c r="F48" s="2">
        <f>COUNTIFS(Trazabilidad!$F$7:$F$134,$A48,Trazabilidad!$B$7:$B$134,"Matriz de riesgos")</f>
        <v>0</v>
      </c>
      <c r="G48" s="2" t="s">
        <v>118</v>
      </c>
      <c r="H48" s="2" t="s">
        <v>105</v>
      </c>
      <c r="I48" s="2" t="s">
        <v>18</v>
      </c>
      <c r="J48" s="2" t="s">
        <v>77</v>
      </c>
      <c r="K48" s="3">
        <v>46298</v>
      </c>
      <c r="L48" s="3"/>
      <c r="M48" s="2" t="s">
        <v>860</v>
      </c>
      <c r="N48" s="2" t="s">
        <v>20</v>
      </c>
      <c r="O48" s="2" t="s">
        <v>304</v>
      </c>
      <c r="P48" s="2" t="s">
        <v>305</v>
      </c>
      <c r="Q48" s="2" t="s">
        <v>849</v>
      </c>
      <c r="R48" s="2" t="s">
        <v>850</v>
      </c>
      <c r="S48" s="2" t="s">
        <v>861</v>
      </c>
    </row>
    <row r="49" spans="1:19" ht="52.8">
      <c r="A49" s="2" t="s">
        <v>325</v>
      </c>
      <c r="B49" s="2" t="s">
        <v>326</v>
      </c>
      <c r="C49" s="2" t="s">
        <v>327</v>
      </c>
      <c r="D49" s="2" t="s">
        <v>328</v>
      </c>
      <c r="E49" s="2">
        <f>COUNTIFS(Trazabilidad!$F$7:$F$134,$A49,Trazabilidad!$B$7:$B$134,"Matriz de calidad")</f>
        <v>0</v>
      </c>
      <c r="F49" s="2">
        <f>COUNTIFS(Trazabilidad!$F$7:$F$134,$A49,Trazabilidad!$B$7:$B$134,"Matriz de riesgos")</f>
        <v>0</v>
      </c>
      <c r="G49" s="2" t="s">
        <v>88</v>
      </c>
      <c r="H49" s="2" t="s">
        <v>89</v>
      </c>
      <c r="I49" s="2" t="s">
        <v>76</v>
      </c>
      <c r="J49" s="2" t="s">
        <v>90</v>
      </c>
      <c r="K49" s="3">
        <v>46298</v>
      </c>
      <c r="L49" s="3"/>
      <c r="M49" s="2" t="s">
        <v>862</v>
      </c>
      <c r="N49" s="2" t="s">
        <v>20</v>
      </c>
      <c r="O49" s="2" t="s">
        <v>304</v>
      </c>
      <c r="P49" s="2" t="s">
        <v>305</v>
      </c>
      <c r="Q49" s="2" t="s">
        <v>849</v>
      </c>
      <c r="R49" s="2" t="s">
        <v>850</v>
      </c>
      <c r="S49" s="2" t="s">
        <v>863</v>
      </c>
    </row>
    <row r="50" spans="1:19" ht="52.8">
      <c r="A50" s="2" t="s">
        <v>329</v>
      </c>
      <c r="B50" s="2" t="s">
        <v>330</v>
      </c>
      <c r="C50" s="2" t="s">
        <v>331</v>
      </c>
      <c r="D50" s="2" t="s">
        <v>332</v>
      </c>
      <c r="E50" s="2">
        <f>COUNTIFS(Trazabilidad!$F$7:$F$134,$A50,Trazabilidad!$B$7:$B$134,"Matriz de calidad")</f>
        <v>0</v>
      </c>
      <c r="F50" s="2">
        <f>COUNTIFS(Trazabilidad!$F$7:$F$134,$A50,Trazabilidad!$B$7:$B$134,"Matriz de riesgos")</f>
        <v>0</v>
      </c>
      <c r="G50" s="2" t="s">
        <v>111</v>
      </c>
      <c r="H50" s="2" t="s">
        <v>97</v>
      </c>
      <c r="I50" s="2" t="s">
        <v>18</v>
      </c>
      <c r="J50" s="2" t="s">
        <v>77</v>
      </c>
      <c r="K50" s="3">
        <v>46298</v>
      </c>
      <c r="L50" s="3"/>
      <c r="M50" s="2" t="s">
        <v>864</v>
      </c>
      <c r="N50" s="2" t="s">
        <v>20</v>
      </c>
      <c r="O50" s="2" t="s">
        <v>304</v>
      </c>
      <c r="P50" s="2" t="s">
        <v>305</v>
      </c>
      <c r="Q50" s="2" t="s">
        <v>849</v>
      </c>
      <c r="R50" s="2" t="s">
        <v>850</v>
      </c>
      <c r="S50" s="2" t="s">
        <v>865</v>
      </c>
    </row>
    <row r="51" spans="1:19" ht="52.8">
      <c r="A51" s="2" t="s">
        <v>333</v>
      </c>
      <c r="B51" s="2" t="s">
        <v>147</v>
      </c>
      <c r="C51" s="2" t="s">
        <v>334</v>
      </c>
      <c r="D51" s="2" t="s">
        <v>335</v>
      </c>
      <c r="E51" s="2">
        <f>COUNTIFS(Trazabilidad!$F$7:$F$134,$A51,Trazabilidad!$B$7:$B$134,"Matriz de calidad")</f>
        <v>0</v>
      </c>
      <c r="F51" s="2">
        <f>COUNTIFS(Trazabilidad!$F$7:$F$134,$A51,Trazabilidad!$B$7:$B$134,"Matriz de riesgos")</f>
        <v>0</v>
      </c>
      <c r="G51" s="2" t="s">
        <v>336</v>
      </c>
      <c r="H51" s="2" t="s">
        <v>18</v>
      </c>
      <c r="I51" s="2" t="s">
        <v>76</v>
      </c>
      <c r="J51" s="2" t="s">
        <v>90</v>
      </c>
      <c r="K51" s="3">
        <v>46298</v>
      </c>
      <c r="L51" s="3"/>
      <c r="M51" s="2" t="s">
        <v>866</v>
      </c>
      <c r="N51" s="2" t="s">
        <v>20</v>
      </c>
      <c r="O51" s="2" t="s">
        <v>304</v>
      </c>
      <c r="P51" s="2" t="s">
        <v>305</v>
      </c>
      <c r="Q51" s="2" t="s">
        <v>849</v>
      </c>
      <c r="R51" s="2" t="s">
        <v>850</v>
      </c>
      <c r="S51" s="2" t="s">
        <v>867</v>
      </c>
    </row>
    <row r="52" spans="1:19" ht="52.8">
      <c r="A52" s="2" t="s">
        <v>337</v>
      </c>
      <c r="B52" s="2" t="s">
        <v>154</v>
      </c>
      <c r="C52" s="2" t="s">
        <v>338</v>
      </c>
      <c r="D52" s="2" t="s">
        <v>339</v>
      </c>
      <c r="E52" s="2">
        <f>COUNTIFS(Trazabilidad!$F$7:$F$134,$A52,Trazabilidad!$B$7:$B$134,"Matriz de calidad")</f>
        <v>0</v>
      </c>
      <c r="F52" s="2">
        <f>COUNTIFS(Trazabilidad!$F$7:$F$134,$A52,Trazabilidad!$B$7:$B$134,"Matriz de riesgos")</f>
        <v>0</v>
      </c>
      <c r="G52" s="2" t="s">
        <v>157</v>
      </c>
      <c r="H52" s="2" t="s">
        <v>89</v>
      </c>
      <c r="I52" s="2" t="s">
        <v>18</v>
      </c>
      <c r="J52" s="2" t="s">
        <v>90</v>
      </c>
      <c r="K52" s="3">
        <v>46298</v>
      </c>
      <c r="L52" s="3"/>
      <c r="M52" s="2" t="s">
        <v>868</v>
      </c>
      <c r="N52" s="2" t="s">
        <v>20</v>
      </c>
      <c r="O52" s="2" t="s">
        <v>304</v>
      </c>
      <c r="P52" s="2" t="s">
        <v>305</v>
      </c>
      <c r="Q52" s="2" t="s">
        <v>849</v>
      </c>
      <c r="R52" s="2" t="s">
        <v>850</v>
      </c>
      <c r="S52" s="2" t="s">
        <v>869</v>
      </c>
    </row>
  </sheetData>
  <mergeCells count="2">
    <mergeCell ref="A2:S2"/>
    <mergeCell ref="A3:S3"/>
  </mergeCells>
  <conditionalFormatting sqref="N10:N42">
    <cfRule type="containsText" dxfId="1" priority="1" operator="containsText" text="Verificada"/>
  </conditionalFormatting>
  <conditionalFormatting sqref="N10:O42">
    <cfRule type="containsText" dxfId="0" priority="2" operator="containsText" text="En proceso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Catálogos!$D$2:$D$5</xm:f>
          </x14:formula1>
          <xm:sqref>J10:J52</xm:sqref>
        </x14:dataValidation>
        <x14:dataValidation type="list" xr:uid="{00000000-0002-0000-0100-000001000000}">
          <x14:formula1>
            <xm:f>Catálogos!$A$2:$A$5</xm:f>
          </x14:formula1>
          <xm:sqref>N10:N52</xm:sqref>
        </x14:dataValidation>
        <x14:dataValidation type="list" xr:uid="{00000000-0002-0000-0100-000002000000}">
          <x14:formula1>
            <xm:f>Catálogos!$B$2:$B$5</xm:f>
          </x14:formula1>
          <xm:sqref>O10:O52</xm:sqref>
        </x14:dataValidation>
        <x14:dataValidation type="list" xr:uid="{00000000-0002-0000-0100-000003000000}">
          <x14:formula1>
            <xm:f>Catálogos!$C$2:$C$10</xm:f>
          </x14:formula1>
          <xm:sqref>G10:G52</xm:sqref>
        </x14:dataValidation>
        <x14:dataValidation type="list" xr:uid="{00000000-0002-0000-0100-000004000000}">
          <x14:formula1>
            <xm:f>Catálogos!$E$2:$E$7</xm:f>
          </x14:formula1>
          <xm:sqref>H10:I52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DEBF7"/>
  </sheetPr>
  <dimension ref="A2:L134"/>
  <sheetViews>
    <sheetView showGridLines="0" tabSelected="1" workbookViewId="0">
      <pane xSplit="4" ySplit="6" topLeftCell="E16" activePane="bottomRight" state="frozen"/>
      <selection pane="topRight"/>
      <selection pane="bottomLeft"/>
      <selection pane="bottomRight" activeCell="C13" sqref="C13"/>
    </sheetView>
  </sheetViews>
  <sheetFormatPr baseColWidth="10" defaultColWidth="8.796875" defaultRowHeight="13.8"/>
  <cols>
    <col min="1" max="1" width="14" customWidth="1"/>
    <col min="2" max="2" width="18" customWidth="1"/>
    <col min="3" max="3" width="17" customWidth="1"/>
    <col min="4" max="4" width="36" customWidth="1"/>
    <col min="5" max="5" width="40" customWidth="1"/>
    <col min="6" max="6" width="15" customWidth="1"/>
    <col min="7" max="7" width="23" customWidth="1"/>
    <col min="8" max="8" width="12" customWidth="1"/>
    <col min="9" max="9" width="18" customWidth="1"/>
    <col min="10" max="10" width="42" customWidth="1"/>
    <col min="11" max="11" width="13" customWidth="1"/>
    <col min="12" max="12" width="46" customWidth="1"/>
  </cols>
  <sheetData>
    <row r="2" spans="1:12" ht="28.05" customHeight="1">
      <c r="A2" s="6" t="s">
        <v>340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4.4">
      <c r="A3" s="11" t="s">
        <v>341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6" spans="1:12">
      <c r="A6" s="1" t="s">
        <v>342</v>
      </c>
      <c r="B6" s="1" t="s">
        <v>343</v>
      </c>
      <c r="C6" s="1" t="s">
        <v>55</v>
      </c>
      <c r="D6" s="1" t="s">
        <v>344</v>
      </c>
      <c r="E6" s="1" t="s">
        <v>345</v>
      </c>
      <c r="F6" s="1" t="s">
        <v>346</v>
      </c>
      <c r="G6" s="1" t="s">
        <v>61</v>
      </c>
      <c r="H6" s="1" t="s">
        <v>63</v>
      </c>
      <c r="I6" s="1" t="s">
        <v>347</v>
      </c>
      <c r="J6" s="1" t="s">
        <v>348</v>
      </c>
      <c r="K6" s="1" t="s">
        <v>65</v>
      </c>
      <c r="L6" s="1" t="s">
        <v>349</v>
      </c>
    </row>
    <row r="7" spans="1:12" ht="45" customHeight="1">
      <c r="A7" s="2" t="s">
        <v>350</v>
      </c>
      <c r="B7" s="2" t="s">
        <v>351</v>
      </c>
      <c r="C7" s="2" t="s">
        <v>85</v>
      </c>
      <c r="D7" s="2" t="s">
        <v>326</v>
      </c>
      <c r="E7" s="2" t="s">
        <v>352</v>
      </c>
      <c r="F7" s="2" t="s">
        <v>84</v>
      </c>
      <c r="G7" s="2" t="s">
        <v>76</v>
      </c>
      <c r="H7" s="2" t="s">
        <v>90</v>
      </c>
      <c r="I7" s="2" t="s">
        <v>353</v>
      </c>
      <c r="J7" s="2" t="s">
        <v>354</v>
      </c>
      <c r="K7" s="3">
        <v>46291</v>
      </c>
      <c r="L7" s="2" t="s">
        <v>355</v>
      </c>
    </row>
    <row r="8" spans="1:12" ht="45" customHeight="1">
      <c r="A8" s="2" t="s">
        <v>356</v>
      </c>
      <c r="B8" s="2" t="s">
        <v>351</v>
      </c>
      <c r="C8" s="2" t="s">
        <v>85</v>
      </c>
      <c r="D8" s="2" t="s">
        <v>357</v>
      </c>
      <c r="E8" s="2" t="s">
        <v>358</v>
      </c>
      <c r="F8" s="2" t="s">
        <v>84</v>
      </c>
      <c r="G8" s="2" t="s">
        <v>89</v>
      </c>
      <c r="H8" s="2" t="s">
        <v>90</v>
      </c>
      <c r="I8" s="2" t="s">
        <v>353</v>
      </c>
      <c r="J8" s="2" t="s">
        <v>359</v>
      </c>
      <c r="K8" s="3">
        <v>46291</v>
      </c>
      <c r="L8" s="2" t="s">
        <v>355</v>
      </c>
    </row>
    <row r="9" spans="1:12" ht="45" customHeight="1">
      <c r="A9" s="2" t="s">
        <v>360</v>
      </c>
      <c r="B9" s="2" t="s">
        <v>351</v>
      </c>
      <c r="C9" s="2" t="s">
        <v>85</v>
      </c>
      <c r="D9" s="2" t="s">
        <v>361</v>
      </c>
      <c r="E9" s="2" t="s">
        <v>362</v>
      </c>
      <c r="F9" s="2" t="s">
        <v>93</v>
      </c>
      <c r="G9" s="2" t="s">
        <v>18</v>
      </c>
      <c r="H9" s="2" t="s">
        <v>77</v>
      </c>
      <c r="I9" s="2" t="s">
        <v>353</v>
      </c>
      <c r="J9" s="2" t="s">
        <v>363</v>
      </c>
      <c r="K9" s="3">
        <v>46291</v>
      </c>
      <c r="L9" s="2" t="s">
        <v>355</v>
      </c>
    </row>
    <row r="10" spans="1:12" ht="45" customHeight="1">
      <c r="A10" s="2" t="s">
        <v>364</v>
      </c>
      <c r="B10" s="2" t="s">
        <v>351</v>
      </c>
      <c r="C10" s="2" t="s">
        <v>85</v>
      </c>
      <c r="D10" s="2" t="s">
        <v>365</v>
      </c>
      <c r="E10" s="2" t="s">
        <v>366</v>
      </c>
      <c r="F10" s="2" t="s">
        <v>93</v>
      </c>
      <c r="G10" s="2" t="s">
        <v>18</v>
      </c>
      <c r="H10" s="2" t="s">
        <v>77</v>
      </c>
      <c r="I10" s="2" t="s">
        <v>353</v>
      </c>
      <c r="J10" s="2" t="s">
        <v>367</v>
      </c>
      <c r="K10" s="3">
        <v>46291</v>
      </c>
      <c r="L10" s="2" t="s">
        <v>355</v>
      </c>
    </row>
    <row r="11" spans="1:12" ht="45" customHeight="1">
      <c r="A11" s="2" t="s">
        <v>368</v>
      </c>
      <c r="B11" s="2" t="s">
        <v>351</v>
      </c>
      <c r="C11" s="2" t="s">
        <v>85</v>
      </c>
      <c r="D11" s="2" t="s">
        <v>369</v>
      </c>
      <c r="E11" s="2" t="s">
        <v>370</v>
      </c>
      <c r="F11" s="2" t="s">
        <v>93</v>
      </c>
      <c r="G11" s="2" t="s">
        <v>97</v>
      </c>
      <c r="H11" s="2" t="s">
        <v>90</v>
      </c>
      <c r="I11" s="2" t="s">
        <v>353</v>
      </c>
      <c r="J11" s="2" t="s">
        <v>371</v>
      </c>
      <c r="K11" s="3">
        <v>46291</v>
      </c>
      <c r="L11" s="2" t="s">
        <v>355</v>
      </c>
    </row>
    <row r="12" spans="1:12" ht="45" customHeight="1">
      <c r="A12" s="2" t="s">
        <v>372</v>
      </c>
      <c r="B12" s="2" t="s">
        <v>351</v>
      </c>
      <c r="C12" s="2" t="s">
        <v>85</v>
      </c>
      <c r="D12" s="2" t="s">
        <v>373</v>
      </c>
      <c r="E12" s="2" t="s">
        <v>374</v>
      </c>
      <c r="F12" s="2" t="s">
        <v>100</v>
      </c>
      <c r="G12" s="2" t="s">
        <v>18</v>
      </c>
      <c r="H12" s="2" t="s">
        <v>77</v>
      </c>
      <c r="I12" s="2" t="s">
        <v>353</v>
      </c>
      <c r="J12" s="2" t="s">
        <v>375</v>
      </c>
      <c r="K12" s="3">
        <v>46291</v>
      </c>
      <c r="L12" s="2" t="s">
        <v>355</v>
      </c>
    </row>
    <row r="13" spans="1:12" ht="45" customHeight="1">
      <c r="A13" s="2" t="s">
        <v>376</v>
      </c>
      <c r="B13" s="2" t="s">
        <v>351</v>
      </c>
      <c r="C13" s="2" t="s">
        <v>85</v>
      </c>
      <c r="D13" s="2" t="s">
        <v>377</v>
      </c>
      <c r="E13" s="2" t="s">
        <v>378</v>
      </c>
      <c r="F13" s="2" t="s">
        <v>100</v>
      </c>
      <c r="G13" s="2" t="s">
        <v>18</v>
      </c>
      <c r="H13" s="2" t="s">
        <v>77</v>
      </c>
      <c r="I13" s="2" t="s">
        <v>353</v>
      </c>
      <c r="J13" s="2" t="s">
        <v>379</v>
      </c>
      <c r="K13" s="3">
        <v>46291</v>
      </c>
      <c r="L13" s="2" t="s">
        <v>355</v>
      </c>
    </row>
    <row r="14" spans="1:12" ht="45" customHeight="1">
      <c r="A14" s="2" t="s">
        <v>380</v>
      </c>
      <c r="B14" s="2" t="s">
        <v>351</v>
      </c>
      <c r="C14" s="2" t="s">
        <v>85</v>
      </c>
      <c r="D14" s="2" t="s">
        <v>381</v>
      </c>
      <c r="E14" s="2" t="s">
        <v>382</v>
      </c>
      <c r="F14" s="2" t="s">
        <v>100</v>
      </c>
      <c r="G14" s="2" t="s">
        <v>105</v>
      </c>
      <c r="H14" s="2" t="s">
        <v>77</v>
      </c>
      <c r="I14" s="2" t="s">
        <v>353</v>
      </c>
      <c r="J14" s="2" t="s">
        <v>383</v>
      </c>
      <c r="K14" s="3">
        <v>46291</v>
      </c>
      <c r="L14" s="2" t="s">
        <v>355</v>
      </c>
    </row>
    <row r="15" spans="1:12" ht="45" customHeight="1">
      <c r="A15" s="2" t="s">
        <v>384</v>
      </c>
      <c r="B15" s="2" t="s">
        <v>351</v>
      </c>
      <c r="C15" s="2" t="s">
        <v>85</v>
      </c>
      <c r="D15" s="2" t="s">
        <v>385</v>
      </c>
      <c r="E15" s="2" t="s">
        <v>386</v>
      </c>
      <c r="F15" s="2" t="s">
        <v>108</v>
      </c>
      <c r="G15" s="2" t="s">
        <v>89</v>
      </c>
      <c r="H15" s="2" t="s">
        <v>90</v>
      </c>
      <c r="I15" s="2" t="s">
        <v>387</v>
      </c>
      <c r="J15" s="2" t="s">
        <v>388</v>
      </c>
      <c r="K15" s="3">
        <v>46291</v>
      </c>
      <c r="L15" s="2" t="s">
        <v>389</v>
      </c>
    </row>
    <row r="16" spans="1:12" ht="45" customHeight="1">
      <c r="A16" s="2" t="s">
        <v>390</v>
      </c>
      <c r="B16" s="2" t="s">
        <v>351</v>
      </c>
      <c r="C16" s="2" t="s">
        <v>85</v>
      </c>
      <c r="D16" s="2" t="s">
        <v>391</v>
      </c>
      <c r="E16" s="2" t="s">
        <v>392</v>
      </c>
      <c r="F16" s="2" t="s">
        <v>108</v>
      </c>
      <c r="G16" s="2" t="s">
        <v>97</v>
      </c>
      <c r="H16" s="2" t="s">
        <v>90</v>
      </c>
      <c r="I16" s="2" t="s">
        <v>387</v>
      </c>
      <c r="J16" s="2" t="s">
        <v>393</v>
      </c>
      <c r="K16" s="3">
        <v>46291</v>
      </c>
      <c r="L16" s="2" t="s">
        <v>389</v>
      </c>
    </row>
    <row r="17" spans="1:12" ht="45" customHeight="1">
      <c r="A17" s="2" t="s">
        <v>394</v>
      </c>
      <c r="B17" s="2" t="s">
        <v>351</v>
      </c>
      <c r="C17" s="2" t="s">
        <v>85</v>
      </c>
      <c r="D17" s="2" t="s">
        <v>395</v>
      </c>
      <c r="E17" s="2" t="s">
        <v>396</v>
      </c>
      <c r="F17" s="2" t="s">
        <v>115</v>
      </c>
      <c r="G17" s="2" t="s">
        <v>76</v>
      </c>
      <c r="H17" s="2" t="s">
        <v>90</v>
      </c>
      <c r="I17" s="2" t="s">
        <v>353</v>
      </c>
      <c r="J17" s="2" t="s">
        <v>397</v>
      </c>
      <c r="K17" s="3">
        <v>46291</v>
      </c>
      <c r="L17" s="2" t="s">
        <v>355</v>
      </c>
    </row>
    <row r="18" spans="1:12" ht="45" customHeight="1">
      <c r="A18" s="2" t="s">
        <v>398</v>
      </c>
      <c r="B18" s="2" t="s">
        <v>351</v>
      </c>
      <c r="C18" s="2" t="s">
        <v>85</v>
      </c>
      <c r="D18" s="2" t="s">
        <v>399</v>
      </c>
      <c r="E18" s="2" t="s">
        <v>400</v>
      </c>
      <c r="F18" s="2" t="s">
        <v>121</v>
      </c>
      <c r="G18" s="2" t="s">
        <v>18</v>
      </c>
      <c r="H18" s="2" t="s">
        <v>90</v>
      </c>
      <c r="I18" s="2" t="s">
        <v>353</v>
      </c>
      <c r="J18" s="2" t="s">
        <v>401</v>
      </c>
      <c r="K18" s="3">
        <v>46291</v>
      </c>
      <c r="L18" s="2" t="s">
        <v>355</v>
      </c>
    </row>
    <row r="19" spans="1:12" ht="45" customHeight="1">
      <c r="A19" s="2" t="s">
        <v>402</v>
      </c>
      <c r="B19" s="2" t="s">
        <v>351</v>
      </c>
      <c r="C19" s="2" t="s">
        <v>101</v>
      </c>
      <c r="D19" s="2" t="s">
        <v>403</v>
      </c>
      <c r="E19" s="2" t="s">
        <v>404</v>
      </c>
      <c r="F19" s="2" t="s">
        <v>128</v>
      </c>
      <c r="G19" s="2" t="s">
        <v>18</v>
      </c>
      <c r="H19" s="2" t="s">
        <v>77</v>
      </c>
      <c r="I19" s="2" t="s">
        <v>353</v>
      </c>
      <c r="J19" s="2" t="s">
        <v>405</v>
      </c>
      <c r="K19" s="3">
        <v>46292</v>
      </c>
      <c r="L19" s="2" t="s">
        <v>355</v>
      </c>
    </row>
    <row r="20" spans="1:12" ht="45" customHeight="1">
      <c r="A20" s="2" t="s">
        <v>406</v>
      </c>
      <c r="B20" s="2" t="s">
        <v>351</v>
      </c>
      <c r="C20" s="2" t="s">
        <v>101</v>
      </c>
      <c r="D20" s="2" t="s">
        <v>407</v>
      </c>
      <c r="E20" s="2" t="s">
        <v>408</v>
      </c>
      <c r="F20" s="2" t="s">
        <v>128</v>
      </c>
      <c r="G20" s="2" t="s">
        <v>18</v>
      </c>
      <c r="H20" s="2" t="s">
        <v>90</v>
      </c>
      <c r="I20" s="2" t="s">
        <v>353</v>
      </c>
      <c r="J20" s="2" t="s">
        <v>409</v>
      </c>
      <c r="K20" s="3">
        <v>46292</v>
      </c>
      <c r="L20" s="2" t="s">
        <v>355</v>
      </c>
    </row>
    <row r="21" spans="1:12" ht="45" customHeight="1">
      <c r="A21" s="2" t="s">
        <v>410</v>
      </c>
      <c r="B21" s="2" t="s">
        <v>351</v>
      </c>
      <c r="C21" s="2" t="s">
        <v>101</v>
      </c>
      <c r="D21" s="2" t="s">
        <v>411</v>
      </c>
      <c r="E21" s="2" t="s">
        <v>412</v>
      </c>
      <c r="F21" s="2" t="s">
        <v>100</v>
      </c>
      <c r="G21" s="2" t="s">
        <v>105</v>
      </c>
      <c r="H21" s="2" t="s">
        <v>77</v>
      </c>
      <c r="I21" s="2" t="s">
        <v>353</v>
      </c>
      <c r="J21" s="2" t="s">
        <v>413</v>
      </c>
      <c r="K21" s="3">
        <v>46292</v>
      </c>
      <c r="L21" s="2" t="s">
        <v>355</v>
      </c>
    </row>
    <row r="22" spans="1:12" ht="45" customHeight="1">
      <c r="A22" s="2" t="s">
        <v>414</v>
      </c>
      <c r="B22" s="2" t="s">
        <v>351</v>
      </c>
      <c r="C22" s="2" t="s">
        <v>101</v>
      </c>
      <c r="D22" s="2" t="s">
        <v>415</v>
      </c>
      <c r="E22" s="2" t="s">
        <v>416</v>
      </c>
      <c r="F22" s="2" t="s">
        <v>115</v>
      </c>
      <c r="G22" s="2" t="s">
        <v>105</v>
      </c>
      <c r="H22" s="2" t="s">
        <v>77</v>
      </c>
      <c r="I22" s="2" t="s">
        <v>387</v>
      </c>
      <c r="J22" s="2" t="s">
        <v>417</v>
      </c>
      <c r="K22" s="3">
        <v>46292</v>
      </c>
      <c r="L22" s="2" t="s">
        <v>418</v>
      </c>
    </row>
    <row r="23" spans="1:12" ht="45" customHeight="1">
      <c r="A23" s="2" t="s">
        <v>419</v>
      </c>
      <c r="B23" s="2" t="s">
        <v>351</v>
      </c>
      <c r="C23" s="2" t="s">
        <v>101</v>
      </c>
      <c r="D23" s="2" t="s">
        <v>420</v>
      </c>
      <c r="E23" s="2" t="s">
        <v>421</v>
      </c>
      <c r="F23" s="2" t="s">
        <v>134</v>
      </c>
      <c r="G23" s="2" t="s">
        <v>97</v>
      </c>
      <c r="H23" s="2" t="s">
        <v>77</v>
      </c>
      <c r="I23" s="2" t="s">
        <v>353</v>
      </c>
      <c r="J23" s="2" t="s">
        <v>422</v>
      </c>
      <c r="K23" s="3">
        <v>46292</v>
      </c>
      <c r="L23" s="2" t="s">
        <v>355</v>
      </c>
    </row>
    <row r="24" spans="1:12" ht="45" customHeight="1">
      <c r="A24" s="2" t="s">
        <v>423</v>
      </c>
      <c r="B24" s="2" t="s">
        <v>351</v>
      </c>
      <c r="C24" s="2" t="s">
        <v>101</v>
      </c>
      <c r="D24" s="2" t="s">
        <v>424</v>
      </c>
      <c r="E24" s="2" t="s">
        <v>425</v>
      </c>
      <c r="F24" s="2" t="s">
        <v>134</v>
      </c>
      <c r="G24" s="2" t="s">
        <v>18</v>
      </c>
      <c r="H24" s="2" t="s">
        <v>90</v>
      </c>
      <c r="I24" s="2" t="s">
        <v>353</v>
      </c>
      <c r="J24" s="2" t="s">
        <v>426</v>
      </c>
      <c r="K24" s="3">
        <v>46292</v>
      </c>
      <c r="L24" s="2" t="s">
        <v>355</v>
      </c>
    </row>
    <row r="25" spans="1:12" ht="45" customHeight="1">
      <c r="A25" s="2" t="s">
        <v>427</v>
      </c>
      <c r="B25" s="2" t="s">
        <v>351</v>
      </c>
      <c r="C25" s="2" t="s">
        <v>101</v>
      </c>
      <c r="D25" s="2" t="s">
        <v>428</v>
      </c>
      <c r="E25" s="2" t="s">
        <v>429</v>
      </c>
      <c r="F25" s="2" t="s">
        <v>146</v>
      </c>
      <c r="G25" s="2" t="s">
        <v>76</v>
      </c>
      <c r="H25" s="2" t="s">
        <v>90</v>
      </c>
      <c r="I25" s="2" t="s">
        <v>353</v>
      </c>
      <c r="J25" s="2" t="s">
        <v>430</v>
      </c>
      <c r="K25" s="3">
        <v>46292</v>
      </c>
      <c r="L25" s="2" t="s">
        <v>355</v>
      </c>
    </row>
    <row r="26" spans="1:12" ht="45" customHeight="1">
      <c r="A26" s="2" t="s">
        <v>431</v>
      </c>
      <c r="B26" s="2" t="s">
        <v>351</v>
      </c>
      <c r="C26" s="2" t="s">
        <v>101</v>
      </c>
      <c r="D26" s="2" t="s">
        <v>432</v>
      </c>
      <c r="E26" s="2" t="s">
        <v>433</v>
      </c>
      <c r="F26" s="2" t="s">
        <v>294</v>
      </c>
      <c r="G26" s="2" t="s">
        <v>97</v>
      </c>
      <c r="H26" s="2" t="s">
        <v>434</v>
      </c>
      <c r="I26" s="2" t="s">
        <v>387</v>
      </c>
      <c r="J26" s="2" t="s">
        <v>435</v>
      </c>
      <c r="K26" s="3">
        <v>46292</v>
      </c>
      <c r="L26" s="2" t="s">
        <v>436</v>
      </c>
    </row>
    <row r="27" spans="1:12" ht="45" customHeight="1">
      <c r="A27" s="2" t="s">
        <v>437</v>
      </c>
      <c r="B27" s="2" t="s">
        <v>351</v>
      </c>
      <c r="C27" s="2" t="s">
        <v>101</v>
      </c>
      <c r="D27" s="2" t="s">
        <v>438</v>
      </c>
      <c r="E27" s="2" t="s">
        <v>439</v>
      </c>
      <c r="F27" s="2" t="s">
        <v>140</v>
      </c>
      <c r="G27" s="2" t="s">
        <v>105</v>
      </c>
      <c r="H27" s="2" t="s">
        <v>90</v>
      </c>
      <c r="I27" s="2" t="s">
        <v>353</v>
      </c>
      <c r="J27" s="2" t="s">
        <v>440</v>
      </c>
      <c r="K27" s="3">
        <v>46292</v>
      </c>
      <c r="L27" s="2" t="s">
        <v>355</v>
      </c>
    </row>
    <row r="28" spans="1:12" ht="45" customHeight="1">
      <c r="A28" s="2" t="s">
        <v>441</v>
      </c>
      <c r="B28" s="2" t="s">
        <v>351</v>
      </c>
      <c r="C28" s="2" t="s">
        <v>154</v>
      </c>
      <c r="D28" s="2" t="s">
        <v>442</v>
      </c>
      <c r="E28" s="2" t="s">
        <v>443</v>
      </c>
      <c r="F28" s="2" t="s">
        <v>153</v>
      </c>
      <c r="G28" s="2" t="s">
        <v>18</v>
      </c>
      <c r="H28" s="2" t="s">
        <v>77</v>
      </c>
      <c r="I28" s="2" t="s">
        <v>353</v>
      </c>
      <c r="J28" s="2" t="s">
        <v>444</v>
      </c>
      <c r="K28" s="3">
        <v>46293</v>
      </c>
      <c r="L28" s="2" t="s">
        <v>355</v>
      </c>
    </row>
    <row r="29" spans="1:12" ht="45" customHeight="1">
      <c r="A29" s="2" t="s">
        <v>445</v>
      </c>
      <c r="B29" s="2" t="s">
        <v>351</v>
      </c>
      <c r="C29" s="2" t="s">
        <v>154</v>
      </c>
      <c r="D29" s="2" t="s">
        <v>446</v>
      </c>
      <c r="E29" s="2" t="s">
        <v>447</v>
      </c>
      <c r="F29" s="2" t="s">
        <v>160</v>
      </c>
      <c r="G29" s="2" t="s">
        <v>18</v>
      </c>
      <c r="H29" s="2" t="s">
        <v>77</v>
      </c>
      <c r="I29" s="2" t="s">
        <v>387</v>
      </c>
      <c r="J29" s="2" t="s">
        <v>448</v>
      </c>
      <c r="K29" s="3">
        <v>46293</v>
      </c>
      <c r="L29" s="2" t="s">
        <v>389</v>
      </c>
    </row>
    <row r="30" spans="1:12" ht="45" customHeight="1">
      <c r="A30" s="2" t="s">
        <v>449</v>
      </c>
      <c r="B30" s="2" t="s">
        <v>351</v>
      </c>
      <c r="C30" s="2" t="s">
        <v>154</v>
      </c>
      <c r="D30" s="2" t="s">
        <v>450</v>
      </c>
      <c r="E30" s="2" t="s">
        <v>451</v>
      </c>
      <c r="F30" s="2" t="s">
        <v>160</v>
      </c>
      <c r="G30" s="2" t="s">
        <v>89</v>
      </c>
      <c r="H30" s="2" t="s">
        <v>90</v>
      </c>
      <c r="I30" s="2" t="s">
        <v>387</v>
      </c>
      <c r="J30" s="2" t="s">
        <v>452</v>
      </c>
      <c r="K30" s="3">
        <v>46293</v>
      </c>
      <c r="L30" s="2" t="s">
        <v>389</v>
      </c>
    </row>
    <row r="31" spans="1:12" ht="45" customHeight="1">
      <c r="A31" s="2" t="s">
        <v>453</v>
      </c>
      <c r="B31" s="2" t="s">
        <v>351</v>
      </c>
      <c r="C31" s="2" t="s">
        <v>154</v>
      </c>
      <c r="D31" s="2" t="s">
        <v>454</v>
      </c>
      <c r="E31" s="2" t="s">
        <v>455</v>
      </c>
      <c r="F31" s="2" t="s">
        <v>160</v>
      </c>
      <c r="G31" s="2" t="s">
        <v>89</v>
      </c>
      <c r="H31" s="2" t="s">
        <v>77</v>
      </c>
      <c r="I31" s="2" t="s">
        <v>387</v>
      </c>
      <c r="J31" s="2" t="s">
        <v>456</v>
      </c>
      <c r="K31" s="3">
        <v>46293</v>
      </c>
      <c r="L31" s="2" t="s">
        <v>389</v>
      </c>
    </row>
    <row r="32" spans="1:12" ht="45" customHeight="1">
      <c r="A32" s="2" t="s">
        <v>457</v>
      </c>
      <c r="B32" s="2" t="s">
        <v>351</v>
      </c>
      <c r="C32" s="2" t="s">
        <v>154</v>
      </c>
      <c r="D32" s="2" t="s">
        <v>458</v>
      </c>
      <c r="E32" s="2" t="s">
        <v>459</v>
      </c>
      <c r="F32" s="2" t="s">
        <v>173</v>
      </c>
      <c r="G32" s="2" t="s">
        <v>76</v>
      </c>
      <c r="H32" s="2" t="s">
        <v>90</v>
      </c>
      <c r="I32" s="2" t="s">
        <v>353</v>
      </c>
      <c r="J32" s="2" t="s">
        <v>460</v>
      </c>
      <c r="K32" s="3">
        <v>46293</v>
      </c>
      <c r="L32" s="2" t="s">
        <v>355</v>
      </c>
    </row>
    <row r="33" spans="1:12" ht="45" customHeight="1">
      <c r="A33" s="2" t="s">
        <v>461</v>
      </c>
      <c r="B33" s="2" t="s">
        <v>351</v>
      </c>
      <c r="C33" s="2" t="s">
        <v>154</v>
      </c>
      <c r="D33" s="2" t="s">
        <v>462</v>
      </c>
      <c r="E33" s="2" t="s">
        <v>463</v>
      </c>
      <c r="F33" s="2" t="s">
        <v>153</v>
      </c>
      <c r="G33" s="2" t="s">
        <v>18</v>
      </c>
      <c r="H33" s="2" t="s">
        <v>90</v>
      </c>
      <c r="I33" s="2" t="s">
        <v>353</v>
      </c>
      <c r="J33" s="2" t="s">
        <v>464</v>
      </c>
      <c r="K33" s="3">
        <v>46293</v>
      </c>
      <c r="L33" s="2" t="s">
        <v>355</v>
      </c>
    </row>
    <row r="34" spans="1:12" ht="45" customHeight="1">
      <c r="A34" s="2" t="s">
        <v>465</v>
      </c>
      <c r="B34" s="2" t="s">
        <v>351</v>
      </c>
      <c r="C34" s="2" t="s">
        <v>154</v>
      </c>
      <c r="D34" s="2" t="s">
        <v>466</v>
      </c>
      <c r="E34" s="2" t="s">
        <v>467</v>
      </c>
      <c r="F34" s="2" t="s">
        <v>166</v>
      </c>
      <c r="G34" s="2" t="s">
        <v>89</v>
      </c>
      <c r="H34" s="2" t="s">
        <v>90</v>
      </c>
      <c r="I34" s="2" t="s">
        <v>353</v>
      </c>
      <c r="J34" s="2" t="s">
        <v>468</v>
      </c>
      <c r="K34" s="3">
        <v>46293</v>
      </c>
      <c r="L34" s="2" t="s">
        <v>355</v>
      </c>
    </row>
    <row r="35" spans="1:12" ht="45" customHeight="1">
      <c r="A35" s="2" t="s">
        <v>469</v>
      </c>
      <c r="B35" s="2" t="s">
        <v>351</v>
      </c>
      <c r="C35" s="2" t="s">
        <v>154</v>
      </c>
      <c r="D35" s="2" t="s">
        <v>470</v>
      </c>
      <c r="E35" s="2" t="s">
        <v>471</v>
      </c>
      <c r="F35" s="2" t="s">
        <v>160</v>
      </c>
      <c r="G35" s="2" t="s">
        <v>89</v>
      </c>
      <c r="H35" s="2" t="s">
        <v>90</v>
      </c>
      <c r="I35" s="2" t="s">
        <v>387</v>
      </c>
      <c r="J35" s="2" t="s">
        <v>472</v>
      </c>
      <c r="K35" s="3">
        <v>46293</v>
      </c>
      <c r="L35" s="2" t="s">
        <v>389</v>
      </c>
    </row>
    <row r="36" spans="1:12" ht="45" customHeight="1">
      <c r="A36" s="2" t="s">
        <v>473</v>
      </c>
      <c r="B36" s="2" t="s">
        <v>351</v>
      </c>
      <c r="C36" s="2" t="s">
        <v>154</v>
      </c>
      <c r="D36" s="2" t="s">
        <v>474</v>
      </c>
      <c r="E36" s="2" t="s">
        <v>475</v>
      </c>
      <c r="F36" s="2" t="s">
        <v>166</v>
      </c>
      <c r="G36" s="2" t="s">
        <v>89</v>
      </c>
      <c r="H36" s="2" t="s">
        <v>434</v>
      </c>
      <c r="I36" s="2" t="s">
        <v>353</v>
      </c>
      <c r="J36" s="2" t="s">
        <v>476</v>
      </c>
      <c r="K36" s="3">
        <v>46293</v>
      </c>
      <c r="L36" s="2" t="s">
        <v>355</v>
      </c>
    </row>
    <row r="37" spans="1:12" ht="45" customHeight="1">
      <c r="A37" s="2" t="s">
        <v>477</v>
      </c>
      <c r="B37" s="2" t="s">
        <v>351</v>
      </c>
      <c r="C37" s="2" t="s">
        <v>154</v>
      </c>
      <c r="D37" s="2" t="s">
        <v>478</v>
      </c>
      <c r="E37" s="2" t="s">
        <v>479</v>
      </c>
      <c r="F37" s="2" t="s">
        <v>173</v>
      </c>
      <c r="G37" s="2" t="s">
        <v>76</v>
      </c>
      <c r="H37" s="2" t="s">
        <v>90</v>
      </c>
      <c r="I37" s="2" t="s">
        <v>353</v>
      </c>
      <c r="J37" s="2" t="s">
        <v>480</v>
      </c>
      <c r="K37" s="3">
        <v>46293</v>
      </c>
      <c r="L37" s="2" t="s">
        <v>355</v>
      </c>
    </row>
    <row r="38" spans="1:12" ht="45" customHeight="1">
      <c r="A38" s="2" t="s">
        <v>481</v>
      </c>
      <c r="B38" s="2" t="s">
        <v>351</v>
      </c>
      <c r="C38" s="2" t="s">
        <v>154</v>
      </c>
      <c r="D38" s="2" t="s">
        <v>482</v>
      </c>
      <c r="E38" s="2" t="s">
        <v>483</v>
      </c>
      <c r="F38" s="2" t="s">
        <v>160</v>
      </c>
      <c r="G38" s="2" t="s">
        <v>76</v>
      </c>
      <c r="H38" s="2" t="s">
        <v>90</v>
      </c>
      <c r="I38" s="2" t="s">
        <v>387</v>
      </c>
      <c r="J38" s="2" t="s">
        <v>484</v>
      </c>
      <c r="K38" s="3">
        <v>46293</v>
      </c>
      <c r="L38" s="2" t="s">
        <v>389</v>
      </c>
    </row>
    <row r="39" spans="1:12" ht="45" customHeight="1">
      <c r="A39" s="2" t="s">
        <v>485</v>
      </c>
      <c r="B39" s="2" t="s">
        <v>351</v>
      </c>
      <c r="C39" s="2" t="s">
        <v>181</v>
      </c>
      <c r="D39" s="2" t="s">
        <v>486</v>
      </c>
      <c r="E39" s="2" t="s">
        <v>487</v>
      </c>
      <c r="F39" s="2" t="s">
        <v>180</v>
      </c>
      <c r="G39" s="2" t="s">
        <v>89</v>
      </c>
      <c r="H39" s="2" t="s">
        <v>90</v>
      </c>
      <c r="I39" s="2" t="s">
        <v>353</v>
      </c>
      <c r="J39" s="2" t="s">
        <v>488</v>
      </c>
      <c r="K39" s="3">
        <v>46294</v>
      </c>
      <c r="L39" s="2" t="s">
        <v>355</v>
      </c>
    </row>
    <row r="40" spans="1:12" ht="45" customHeight="1">
      <c r="A40" s="2" t="s">
        <v>489</v>
      </c>
      <c r="B40" s="2" t="s">
        <v>351</v>
      </c>
      <c r="C40" s="2" t="s">
        <v>181</v>
      </c>
      <c r="D40" s="2" t="s">
        <v>490</v>
      </c>
      <c r="E40" s="2" t="s">
        <v>491</v>
      </c>
      <c r="F40" s="2" t="s">
        <v>180</v>
      </c>
      <c r="G40" s="2" t="s">
        <v>89</v>
      </c>
      <c r="H40" s="2" t="s">
        <v>90</v>
      </c>
      <c r="I40" s="2" t="s">
        <v>353</v>
      </c>
      <c r="J40" s="2" t="s">
        <v>492</v>
      </c>
      <c r="K40" s="3">
        <v>46294</v>
      </c>
      <c r="L40" s="2" t="s">
        <v>355</v>
      </c>
    </row>
    <row r="41" spans="1:12" ht="45" customHeight="1">
      <c r="A41" s="2" t="s">
        <v>493</v>
      </c>
      <c r="B41" s="2" t="s">
        <v>351</v>
      </c>
      <c r="C41" s="2" t="s">
        <v>181</v>
      </c>
      <c r="D41" s="2" t="s">
        <v>494</v>
      </c>
      <c r="E41" s="2" t="s">
        <v>495</v>
      </c>
      <c r="F41" s="2" t="s">
        <v>180</v>
      </c>
      <c r="G41" s="2" t="s">
        <v>89</v>
      </c>
      <c r="H41" s="2" t="s">
        <v>434</v>
      </c>
      <c r="I41" s="2" t="s">
        <v>353</v>
      </c>
      <c r="J41" s="2" t="s">
        <v>496</v>
      </c>
      <c r="K41" s="3">
        <v>46294</v>
      </c>
      <c r="L41" s="2" t="s">
        <v>355</v>
      </c>
    </row>
    <row r="42" spans="1:12" ht="45" customHeight="1">
      <c r="A42" s="2" t="s">
        <v>497</v>
      </c>
      <c r="B42" s="2" t="s">
        <v>351</v>
      </c>
      <c r="C42" s="2" t="s">
        <v>181</v>
      </c>
      <c r="D42" s="2" t="s">
        <v>498</v>
      </c>
      <c r="E42" s="2" t="s">
        <v>499</v>
      </c>
      <c r="F42" s="2" t="s">
        <v>180</v>
      </c>
      <c r="G42" s="2" t="s">
        <v>89</v>
      </c>
      <c r="H42" s="2" t="s">
        <v>434</v>
      </c>
      <c r="I42" s="2" t="s">
        <v>353</v>
      </c>
      <c r="J42" s="2" t="s">
        <v>500</v>
      </c>
      <c r="K42" s="3">
        <v>46294</v>
      </c>
      <c r="L42" s="2" t="s">
        <v>355</v>
      </c>
    </row>
    <row r="43" spans="1:12" ht="45" customHeight="1">
      <c r="A43" s="2" t="s">
        <v>501</v>
      </c>
      <c r="B43" s="2" t="s">
        <v>351</v>
      </c>
      <c r="C43" s="2" t="s">
        <v>181</v>
      </c>
      <c r="D43" s="2" t="s">
        <v>502</v>
      </c>
      <c r="E43" s="2" t="s">
        <v>503</v>
      </c>
      <c r="F43" s="2" t="s">
        <v>180</v>
      </c>
      <c r="G43" s="2" t="s">
        <v>18</v>
      </c>
      <c r="H43" s="2" t="s">
        <v>90</v>
      </c>
      <c r="I43" s="2" t="s">
        <v>353</v>
      </c>
      <c r="J43" s="2" t="s">
        <v>504</v>
      </c>
      <c r="K43" s="3">
        <v>46294</v>
      </c>
      <c r="L43" s="2" t="s">
        <v>355</v>
      </c>
    </row>
    <row r="44" spans="1:12" ht="45" customHeight="1">
      <c r="A44" s="2" t="s">
        <v>505</v>
      </c>
      <c r="B44" s="2" t="s">
        <v>351</v>
      </c>
      <c r="C44" s="2" t="s">
        <v>181</v>
      </c>
      <c r="D44" s="2" t="s">
        <v>506</v>
      </c>
      <c r="E44" s="2" t="s">
        <v>507</v>
      </c>
      <c r="F44" s="2" t="s">
        <v>180</v>
      </c>
      <c r="G44" s="2" t="s">
        <v>89</v>
      </c>
      <c r="H44" s="2" t="s">
        <v>90</v>
      </c>
      <c r="I44" s="2" t="s">
        <v>353</v>
      </c>
      <c r="J44" s="2" t="s">
        <v>508</v>
      </c>
      <c r="K44" s="3">
        <v>46294</v>
      </c>
      <c r="L44" s="2" t="s">
        <v>355</v>
      </c>
    </row>
    <row r="45" spans="1:12" ht="45" customHeight="1">
      <c r="A45" s="2" t="s">
        <v>509</v>
      </c>
      <c r="B45" s="2" t="s">
        <v>351</v>
      </c>
      <c r="C45" s="2" t="s">
        <v>181</v>
      </c>
      <c r="D45" s="2" t="s">
        <v>510</v>
      </c>
      <c r="E45" s="2" t="s">
        <v>511</v>
      </c>
      <c r="F45" s="2" t="s">
        <v>180</v>
      </c>
      <c r="G45" s="2" t="s">
        <v>89</v>
      </c>
      <c r="H45" s="2" t="s">
        <v>90</v>
      </c>
      <c r="I45" s="2" t="s">
        <v>353</v>
      </c>
      <c r="J45" s="2" t="s">
        <v>512</v>
      </c>
      <c r="K45" s="3">
        <v>46294</v>
      </c>
      <c r="L45" s="2" t="s">
        <v>355</v>
      </c>
    </row>
    <row r="46" spans="1:12" ht="45" customHeight="1">
      <c r="A46" s="2" t="s">
        <v>513</v>
      </c>
      <c r="B46" s="2" t="s">
        <v>351</v>
      </c>
      <c r="C46" s="2" t="s">
        <v>181</v>
      </c>
      <c r="D46" s="2" t="s">
        <v>514</v>
      </c>
      <c r="E46" s="2" t="s">
        <v>515</v>
      </c>
      <c r="F46" s="2" t="s">
        <v>180</v>
      </c>
      <c r="G46" s="2" t="s">
        <v>89</v>
      </c>
      <c r="H46" s="2" t="s">
        <v>90</v>
      </c>
      <c r="I46" s="2" t="s">
        <v>353</v>
      </c>
      <c r="J46" s="2" t="s">
        <v>516</v>
      </c>
      <c r="K46" s="3">
        <v>46294</v>
      </c>
      <c r="L46" s="2" t="s">
        <v>355</v>
      </c>
    </row>
    <row r="47" spans="1:12" ht="45" customHeight="1">
      <c r="A47" s="2" t="s">
        <v>517</v>
      </c>
      <c r="B47" s="2" t="s">
        <v>351</v>
      </c>
      <c r="C47" s="2" t="s">
        <v>181</v>
      </c>
      <c r="D47" s="2" t="s">
        <v>518</v>
      </c>
      <c r="E47" s="2" t="s">
        <v>519</v>
      </c>
      <c r="F47" s="2" t="s">
        <v>180</v>
      </c>
      <c r="G47" s="2" t="s">
        <v>76</v>
      </c>
      <c r="H47" s="2" t="s">
        <v>434</v>
      </c>
      <c r="I47" s="2" t="s">
        <v>353</v>
      </c>
      <c r="J47" s="2" t="s">
        <v>520</v>
      </c>
      <c r="K47" s="3">
        <v>46294</v>
      </c>
      <c r="L47" s="2" t="s">
        <v>355</v>
      </c>
    </row>
    <row r="48" spans="1:12" ht="45" customHeight="1">
      <c r="A48" s="2" t="s">
        <v>521</v>
      </c>
      <c r="B48" s="2" t="s">
        <v>351</v>
      </c>
      <c r="C48" s="2" t="s">
        <v>181</v>
      </c>
      <c r="D48" s="2" t="s">
        <v>522</v>
      </c>
      <c r="E48" s="2" t="s">
        <v>523</v>
      </c>
      <c r="F48" s="2" t="s">
        <v>180</v>
      </c>
      <c r="G48" s="2" t="s">
        <v>18</v>
      </c>
      <c r="H48" s="2" t="s">
        <v>90</v>
      </c>
      <c r="I48" s="2" t="s">
        <v>353</v>
      </c>
      <c r="J48" s="2" t="s">
        <v>524</v>
      </c>
      <c r="K48" s="3">
        <v>46294</v>
      </c>
      <c r="L48" s="2" t="s">
        <v>355</v>
      </c>
    </row>
    <row r="49" spans="1:12" ht="45" customHeight="1">
      <c r="A49" s="2" t="s">
        <v>525</v>
      </c>
      <c r="B49" s="2" t="s">
        <v>351</v>
      </c>
      <c r="C49" s="2" t="s">
        <v>194</v>
      </c>
      <c r="D49" s="2" t="s">
        <v>526</v>
      </c>
      <c r="E49" s="2" t="s">
        <v>527</v>
      </c>
      <c r="F49" s="2" t="s">
        <v>193</v>
      </c>
      <c r="G49" s="2" t="s">
        <v>105</v>
      </c>
      <c r="H49" s="2" t="s">
        <v>90</v>
      </c>
      <c r="I49" s="2" t="s">
        <v>353</v>
      </c>
      <c r="J49" s="2" t="s">
        <v>528</v>
      </c>
      <c r="K49" s="3">
        <v>46295</v>
      </c>
      <c r="L49" s="2" t="s">
        <v>355</v>
      </c>
    </row>
    <row r="50" spans="1:12" ht="45" customHeight="1">
      <c r="A50" s="2" t="s">
        <v>529</v>
      </c>
      <c r="B50" s="2" t="s">
        <v>351</v>
      </c>
      <c r="C50" s="2" t="s">
        <v>194</v>
      </c>
      <c r="D50" s="2" t="s">
        <v>530</v>
      </c>
      <c r="E50" s="2" t="s">
        <v>531</v>
      </c>
      <c r="F50" s="2" t="s">
        <v>193</v>
      </c>
      <c r="G50" s="2" t="s">
        <v>97</v>
      </c>
      <c r="H50" s="2" t="s">
        <v>90</v>
      </c>
      <c r="I50" s="2" t="s">
        <v>353</v>
      </c>
      <c r="J50" s="2" t="s">
        <v>532</v>
      </c>
      <c r="K50" s="3">
        <v>46295</v>
      </c>
      <c r="L50" s="2" t="s">
        <v>355</v>
      </c>
    </row>
    <row r="51" spans="1:12" ht="45" customHeight="1">
      <c r="A51" s="2" t="s">
        <v>533</v>
      </c>
      <c r="B51" s="2" t="s">
        <v>351</v>
      </c>
      <c r="C51" s="2" t="s">
        <v>534</v>
      </c>
      <c r="D51" s="2" t="s">
        <v>535</v>
      </c>
      <c r="E51" s="2" t="s">
        <v>536</v>
      </c>
      <c r="F51" s="2" t="s">
        <v>134</v>
      </c>
      <c r="G51" s="2" t="s">
        <v>18</v>
      </c>
      <c r="H51" s="2" t="s">
        <v>77</v>
      </c>
      <c r="I51" s="2" t="s">
        <v>353</v>
      </c>
      <c r="J51" s="2" t="s">
        <v>537</v>
      </c>
      <c r="K51" s="3">
        <v>46295</v>
      </c>
      <c r="L51" s="2" t="s">
        <v>355</v>
      </c>
    </row>
    <row r="52" spans="1:12" ht="45" customHeight="1">
      <c r="A52" s="2" t="s">
        <v>538</v>
      </c>
      <c r="B52" s="2" t="s">
        <v>351</v>
      </c>
      <c r="C52" s="2" t="s">
        <v>534</v>
      </c>
      <c r="D52" s="2" t="s">
        <v>539</v>
      </c>
      <c r="E52" s="2" t="s">
        <v>540</v>
      </c>
      <c r="F52" s="2" t="s">
        <v>121</v>
      </c>
      <c r="G52" s="2" t="s">
        <v>97</v>
      </c>
      <c r="H52" s="2" t="s">
        <v>77</v>
      </c>
      <c r="I52" s="2" t="s">
        <v>353</v>
      </c>
      <c r="J52" s="2" t="s">
        <v>541</v>
      </c>
      <c r="K52" s="3">
        <v>46295</v>
      </c>
      <c r="L52" s="2" t="s">
        <v>355</v>
      </c>
    </row>
    <row r="53" spans="1:12" ht="45" customHeight="1">
      <c r="A53" s="2" t="s">
        <v>542</v>
      </c>
      <c r="B53" s="2" t="s">
        <v>351</v>
      </c>
      <c r="C53" s="2" t="s">
        <v>167</v>
      </c>
      <c r="D53" s="2" t="s">
        <v>543</v>
      </c>
      <c r="E53" s="2" t="s">
        <v>544</v>
      </c>
      <c r="F53" s="2" t="s">
        <v>166</v>
      </c>
      <c r="G53" s="2" t="s">
        <v>89</v>
      </c>
      <c r="H53" s="2" t="s">
        <v>90</v>
      </c>
      <c r="I53" s="2" t="s">
        <v>353</v>
      </c>
      <c r="J53" s="2" t="s">
        <v>545</v>
      </c>
      <c r="K53" s="3">
        <v>46295</v>
      </c>
      <c r="L53" s="2" t="s">
        <v>355</v>
      </c>
    </row>
    <row r="54" spans="1:12" ht="45" customHeight="1">
      <c r="A54" s="2" t="s">
        <v>546</v>
      </c>
      <c r="B54" s="2" t="s">
        <v>351</v>
      </c>
      <c r="C54" s="2" t="s">
        <v>167</v>
      </c>
      <c r="D54" s="2" t="s">
        <v>547</v>
      </c>
      <c r="E54" s="2" t="s">
        <v>548</v>
      </c>
      <c r="F54" s="2" t="s">
        <v>166</v>
      </c>
      <c r="G54" s="2" t="s">
        <v>89</v>
      </c>
      <c r="H54" s="2" t="s">
        <v>90</v>
      </c>
      <c r="I54" s="2" t="s">
        <v>353</v>
      </c>
      <c r="J54" s="2" t="s">
        <v>549</v>
      </c>
      <c r="K54" s="3">
        <v>46295</v>
      </c>
      <c r="L54" s="2" t="s">
        <v>355</v>
      </c>
    </row>
    <row r="55" spans="1:12" ht="45" customHeight="1">
      <c r="A55" s="2" t="s">
        <v>550</v>
      </c>
      <c r="B55" s="2" t="s">
        <v>351</v>
      </c>
      <c r="C55" s="2" t="s">
        <v>551</v>
      </c>
      <c r="D55" s="2" t="s">
        <v>552</v>
      </c>
      <c r="E55" s="2" t="s">
        <v>553</v>
      </c>
      <c r="F55" s="2" t="s">
        <v>200</v>
      </c>
      <c r="G55" s="2" t="s">
        <v>105</v>
      </c>
      <c r="H55" s="2" t="s">
        <v>77</v>
      </c>
      <c r="I55" s="2" t="s">
        <v>353</v>
      </c>
      <c r="J55" s="2" t="s">
        <v>554</v>
      </c>
      <c r="K55" s="3">
        <v>46296</v>
      </c>
      <c r="L55" s="2" t="s">
        <v>355</v>
      </c>
    </row>
    <row r="56" spans="1:12" ht="45" customHeight="1">
      <c r="A56" s="2" t="s">
        <v>555</v>
      </c>
      <c r="B56" s="2" t="s">
        <v>351</v>
      </c>
      <c r="C56" s="2" t="s">
        <v>551</v>
      </c>
      <c r="D56" s="2" t="s">
        <v>556</v>
      </c>
      <c r="E56" s="2" t="s">
        <v>557</v>
      </c>
      <c r="F56" s="2" t="s">
        <v>200</v>
      </c>
      <c r="G56" s="2" t="s">
        <v>105</v>
      </c>
      <c r="H56" s="2" t="s">
        <v>90</v>
      </c>
      <c r="I56" s="2" t="s">
        <v>353</v>
      </c>
      <c r="J56" s="2" t="s">
        <v>558</v>
      </c>
      <c r="K56" s="3">
        <v>46296</v>
      </c>
      <c r="L56" s="2" t="s">
        <v>355</v>
      </c>
    </row>
    <row r="57" spans="1:12" ht="45" customHeight="1">
      <c r="A57" s="2" t="s">
        <v>559</v>
      </c>
      <c r="B57" s="2" t="s">
        <v>351</v>
      </c>
      <c r="C57" s="2" t="s">
        <v>551</v>
      </c>
      <c r="D57" s="2" t="s">
        <v>560</v>
      </c>
      <c r="E57" s="2" t="s">
        <v>561</v>
      </c>
      <c r="F57" s="2" t="s">
        <v>200</v>
      </c>
      <c r="G57" s="2" t="s">
        <v>97</v>
      </c>
      <c r="H57" s="2" t="s">
        <v>90</v>
      </c>
      <c r="I57" s="2" t="s">
        <v>353</v>
      </c>
      <c r="J57" s="2" t="s">
        <v>562</v>
      </c>
      <c r="K57" s="3">
        <v>46296</v>
      </c>
      <c r="L57" s="2" t="s">
        <v>355</v>
      </c>
    </row>
    <row r="58" spans="1:12" ht="45" customHeight="1">
      <c r="A58" s="2" t="s">
        <v>563</v>
      </c>
      <c r="B58" s="2" t="s">
        <v>351</v>
      </c>
      <c r="C58" s="2" t="s">
        <v>551</v>
      </c>
      <c r="D58" s="2" t="s">
        <v>564</v>
      </c>
      <c r="E58" s="2" t="s">
        <v>565</v>
      </c>
      <c r="F58" s="2" t="s">
        <v>200</v>
      </c>
      <c r="G58" s="2" t="s">
        <v>97</v>
      </c>
      <c r="H58" s="2" t="s">
        <v>434</v>
      </c>
      <c r="I58" s="2" t="s">
        <v>353</v>
      </c>
      <c r="J58" s="2" t="s">
        <v>566</v>
      </c>
      <c r="K58" s="3">
        <v>46296</v>
      </c>
      <c r="L58" s="2" t="s">
        <v>355</v>
      </c>
    </row>
    <row r="59" spans="1:12" ht="45" customHeight="1">
      <c r="A59" s="2" t="s">
        <v>567</v>
      </c>
      <c r="B59" s="2" t="s">
        <v>351</v>
      </c>
      <c r="C59" s="2" t="s">
        <v>551</v>
      </c>
      <c r="D59" s="2" t="s">
        <v>568</v>
      </c>
      <c r="E59" s="2" t="s">
        <v>569</v>
      </c>
      <c r="F59" s="2" t="s">
        <v>200</v>
      </c>
      <c r="G59" s="2" t="s">
        <v>105</v>
      </c>
      <c r="H59" s="2" t="s">
        <v>90</v>
      </c>
      <c r="I59" s="2" t="s">
        <v>387</v>
      </c>
      <c r="J59" s="2" t="s">
        <v>570</v>
      </c>
      <c r="K59" s="3">
        <v>46296</v>
      </c>
      <c r="L59" s="2" t="s">
        <v>571</v>
      </c>
    </row>
    <row r="60" spans="1:12" ht="45" customHeight="1">
      <c r="A60" s="2" t="s">
        <v>572</v>
      </c>
      <c r="B60" s="2" t="s">
        <v>351</v>
      </c>
      <c r="C60" s="2" t="s">
        <v>551</v>
      </c>
      <c r="D60" s="2" t="s">
        <v>573</v>
      </c>
      <c r="E60" s="2" t="s">
        <v>574</v>
      </c>
      <c r="F60" s="2" t="s">
        <v>287</v>
      </c>
      <c r="G60" s="2" t="s">
        <v>105</v>
      </c>
      <c r="H60" s="2" t="s">
        <v>90</v>
      </c>
      <c r="I60" s="2" t="s">
        <v>353</v>
      </c>
      <c r="J60" s="2" t="s">
        <v>575</v>
      </c>
      <c r="K60" s="3">
        <v>46296</v>
      </c>
      <c r="L60" s="2" t="s">
        <v>355</v>
      </c>
    </row>
    <row r="61" spans="1:12" ht="45" customHeight="1">
      <c r="A61" s="2" t="s">
        <v>576</v>
      </c>
      <c r="B61" s="2" t="s">
        <v>351</v>
      </c>
      <c r="C61" s="2" t="s">
        <v>551</v>
      </c>
      <c r="D61" s="2" t="s">
        <v>577</v>
      </c>
      <c r="E61" s="2" t="s">
        <v>578</v>
      </c>
      <c r="F61" s="2" t="s">
        <v>140</v>
      </c>
      <c r="G61" s="2" t="s">
        <v>13</v>
      </c>
      <c r="H61" s="2" t="s">
        <v>90</v>
      </c>
      <c r="I61" s="2" t="s">
        <v>353</v>
      </c>
      <c r="J61" s="2" t="s">
        <v>579</v>
      </c>
      <c r="K61" s="3">
        <v>46296</v>
      </c>
      <c r="L61" s="2" t="s">
        <v>355</v>
      </c>
    </row>
    <row r="62" spans="1:12" ht="45" customHeight="1">
      <c r="A62" s="2" t="s">
        <v>580</v>
      </c>
      <c r="B62" s="2" t="s">
        <v>351</v>
      </c>
      <c r="C62" s="2" t="s">
        <v>235</v>
      </c>
      <c r="D62" s="2" t="s">
        <v>581</v>
      </c>
      <c r="E62" s="2" t="s">
        <v>582</v>
      </c>
      <c r="F62" s="2" t="s">
        <v>234</v>
      </c>
      <c r="G62" s="2" t="s">
        <v>13</v>
      </c>
      <c r="H62" s="2" t="s">
        <v>77</v>
      </c>
      <c r="I62" s="2" t="s">
        <v>353</v>
      </c>
      <c r="J62" s="2" t="s">
        <v>583</v>
      </c>
      <c r="K62" s="3">
        <v>46296</v>
      </c>
      <c r="L62" s="2" t="s">
        <v>355</v>
      </c>
    </row>
    <row r="63" spans="1:12" ht="45" customHeight="1">
      <c r="A63" s="2" t="s">
        <v>584</v>
      </c>
      <c r="B63" s="2" t="s">
        <v>351</v>
      </c>
      <c r="C63" s="2" t="s">
        <v>235</v>
      </c>
      <c r="D63" s="2" t="s">
        <v>585</v>
      </c>
      <c r="E63" s="2" t="s">
        <v>586</v>
      </c>
      <c r="F63" s="2" t="s">
        <v>259</v>
      </c>
      <c r="G63" s="2" t="s">
        <v>13</v>
      </c>
      <c r="H63" s="2" t="s">
        <v>90</v>
      </c>
      <c r="I63" s="2" t="s">
        <v>387</v>
      </c>
      <c r="J63" s="2" t="s">
        <v>587</v>
      </c>
      <c r="K63" s="3">
        <v>46296</v>
      </c>
      <c r="L63" s="2" t="s">
        <v>588</v>
      </c>
    </row>
    <row r="64" spans="1:12" ht="45" customHeight="1">
      <c r="A64" s="2" t="s">
        <v>589</v>
      </c>
      <c r="B64" s="2" t="s">
        <v>351</v>
      </c>
      <c r="C64" s="2" t="s">
        <v>235</v>
      </c>
      <c r="D64" s="2" t="s">
        <v>260</v>
      </c>
      <c r="E64" s="2" t="s">
        <v>590</v>
      </c>
      <c r="F64" s="2" t="s">
        <v>259</v>
      </c>
      <c r="G64" s="2" t="s">
        <v>76</v>
      </c>
      <c r="H64" s="2" t="s">
        <v>77</v>
      </c>
      <c r="I64" s="2" t="s">
        <v>387</v>
      </c>
      <c r="J64" s="2" t="s">
        <v>591</v>
      </c>
      <c r="K64" s="3">
        <v>46296</v>
      </c>
      <c r="L64" s="2" t="s">
        <v>592</v>
      </c>
    </row>
    <row r="65" spans="1:12" ht="45" customHeight="1">
      <c r="A65" s="2" t="s">
        <v>593</v>
      </c>
      <c r="B65" s="2" t="s">
        <v>351</v>
      </c>
      <c r="C65" s="2" t="s">
        <v>235</v>
      </c>
      <c r="D65" s="2" t="s">
        <v>257</v>
      </c>
      <c r="E65" s="2" t="s">
        <v>594</v>
      </c>
      <c r="F65" s="2" t="s">
        <v>252</v>
      </c>
      <c r="G65" s="2" t="s">
        <v>76</v>
      </c>
      <c r="H65" s="2" t="s">
        <v>77</v>
      </c>
      <c r="I65" s="2" t="s">
        <v>353</v>
      </c>
      <c r="J65" s="2" t="s">
        <v>595</v>
      </c>
      <c r="K65" s="3">
        <v>46296</v>
      </c>
      <c r="L65" s="2" t="s">
        <v>355</v>
      </c>
    </row>
    <row r="66" spans="1:12" ht="45" customHeight="1">
      <c r="A66" s="2" t="s">
        <v>596</v>
      </c>
      <c r="B66" s="2" t="s">
        <v>351</v>
      </c>
      <c r="C66" s="2" t="s">
        <v>235</v>
      </c>
      <c r="D66" s="2" t="s">
        <v>597</v>
      </c>
      <c r="E66" s="2" t="s">
        <v>598</v>
      </c>
      <c r="F66" s="2" t="s">
        <v>252</v>
      </c>
      <c r="G66" s="2" t="s">
        <v>13</v>
      </c>
      <c r="H66" s="2" t="s">
        <v>90</v>
      </c>
      <c r="I66" s="2" t="s">
        <v>353</v>
      </c>
      <c r="J66" s="2" t="s">
        <v>599</v>
      </c>
      <c r="K66" s="3">
        <v>46296</v>
      </c>
      <c r="L66" s="2" t="s">
        <v>355</v>
      </c>
    </row>
    <row r="67" spans="1:12" ht="45" customHeight="1">
      <c r="A67" s="2" t="s">
        <v>600</v>
      </c>
      <c r="B67" s="2" t="s">
        <v>351</v>
      </c>
      <c r="C67" s="2" t="s">
        <v>235</v>
      </c>
      <c r="D67" s="2" t="s">
        <v>278</v>
      </c>
      <c r="E67" s="2" t="s">
        <v>601</v>
      </c>
      <c r="F67" s="2" t="s">
        <v>273</v>
      </c>
      <c r="G67" s="2" t="s">
        <v>76</v>
      </c>
      <c r="H67" s="2" t="s">
        <v>90</v>
      </c>
      <c r="I67" s="2" t="s">
        <v>353</v>
      </c>
      <c r="J67" s="2" t="s">
        <v>602</v>
      </c>
      <c r="K67" s="3">
        <v>46296</v>
      </c>
      <c r="L67" s="2" t="s">
        <v>355</v>
      </c>
    </row>
    <row r="68" spans="1:12" ht="45" customHeight="1">
      <c r="A68" s="2" t="s">
        <v>603</v>
      </c>
      <c r="B68" s="2" t="s">
        <v>351</v>
      </c>
      <c r="C68" s="2" t="s">
        <v>235</v>
      </c>
      <c r="D68" s="2" t="s">
        <v>604</v>
      </c>
      <c r="E68" s="2" t="s">
        <v>605</v>
      </c>
      <c r="F68" s="2" t="s">
        <v>228</v>
      </c>
      <c r="G68" s="2" t="s">
        <v>18</v>
      </c>
      <c r="H68" s="2" t="s">
        <v>90</v>
      </c>
      <c r="I68" s="2" t="s">
        <v>353</v>
      </c>
      <c r="J68" s="2" t="s">
        <v>606</v>
      </c>
      <c r="K68" s="3">
        <v>46296</v>
      </c>
      <c r="L68" s="2" t="s">
        <v>355</v>
      </c>
    </row>
    <row r="69" spans="1:12" ht="45" customHeight="1">
      <c r="A69" s="2" t="s">
        <v>607</v>
      </c>
      <c r="B69" s="2" t="s">
        <v>351</v>
      </c>
      <c r="C69" s="2" t="s">
        <v>235</v>
      </c>
      <c r="D69" s="2" t="s">
        <v>608</v>
      </c>
      <c r="E69" s="2" t="s">
        <v>609</v>
      </c>
      <c r="F69" s="2" t="s">
        <v>266</v>
      </c>
      <c r="G69" s="2" t="s">
        <v>105</v>
      </c>
      <c r="H69" s="2" t="s">
        <v>90</v>
      </c>
      <c r="I69" s="2" t="s">
        <v>353</v>
      </c>
      <c r="J69" s="2" t="s">
        <v>610</v>
      </c>
      <c r="K69" s="3">
        <v>46296</v>
      </c>
      <c r="L69" s="2" t="s">
        <v>355</v>
      </c>
    </row>
    <row r="70" spans="1:12" ht="45" customHeight="1">
      <c r="A70" s="2" t="s">
        <v>611</v>
      </c>
      <c r="B70" s="2" t="s">
        <v>351</v>
      </c>
      <c r="C70" s="2" t="s">
        <v>235</v>
      </c>
      <c r="D70" s="2" t="s">
        <v>612</v>
      </c>
      <c r="E70" s="2" t="s">
        <v>613</v>
      </c>
      <c r="F70" s="2" t="s">
        <v>71</v>
      </c>
      <c r="G70" s="2" t="s">
        <v>76</v>
      </c>
      <c r="H70" s="2" t="s">
        <v>77</v>
      </c>
      <c r="I70" s="2" t="s">
        <v>353</v>
      </c>
      <c r="J70" s="2" t="s">
        <v>614</v>
      </c>
      <c r="K70" s="3">
        <v>46296</v>
      </c>
      <c r="L70" s="2" t="s">
        <v>355</v>
      </c>
    </row>
    <row r="71" spans="1:12" ht="45" customHeight="1">
      <c r="A71" s="2" t="s">
        <v>615</v>
      </c>
      <c r="B71" s="2" t="s">
        <v>616</v>
      </c>
      <c r="C71" s="2" t="s">
        <v>72</v>
      </c>
      <c r="D71" s="2" t="s">
        <v>617</v>
      </c>
      <c r="E71" s="2" t="s">
        <v>618</v>
      </c>
      <c r="F71" s="2" t="s">
        <v>71</v>
      </c>
      <c r="G71" s="2" t="s">
        <v>76</v>
      </c>
      <c r="H71" s="2" t="s">
        <v>77</v>
      </c>
      <c r="I71" s="2" t="s">
        <v>619</v>
      </c>
      <c r="J71" s="2" t="s">
        <v>620</v>
      </c>
      <c r="K71" s="3">
        <v>46291</v>
      </c>
      <c r="L71" s="2" t="s">
        <v>621</v>
      </c>
    </row>
    <row r="72" spans="1:12" ht="45" customHeight="1">
      <c r="A72" s="2" t="s">
        <v>622</v>
      </c>
      <c r="B72" s="2" t="s">
        <v>616</v>
      </c>
      <c r="C72" s="2" t="s">
        <v>72</v>
      </c>
      <c r="D72" s="2" t="s">
        <v>623</v>
      </c>
      <c r="E72" s="2" t="s">
        <v>624</v>
      </c>
      <c r="F72" s="2" t="s">
        <v>71</v>
      </c>
      <c r="G72" s="2" t="s">
        <v>13</v>
      </c>
      <c r="H72" s="2" t="s">
        <v>90</v>
      </c>
      <c r="I72" s="2" t="s">
        <v>619</v>
      </c>
      <c r="J72" s="2" t="s">
        <v>620</v>
      </c>
      <c r="K72" s="3">
        <v>46292</v>
      </c>
      <c r="L72" s="2" t="s">
        <v>625</v>
      </c>
    </row>
    <row r="73" spans="1:12" ht="45" customHeight="1">
      <c r="A73" s="2" t="s">
        <v>626</v>
      </c>
      <c r="B73" s="2" t="s">
        <v>616</v>
      </c>
      <c r="C73" s="2" t="s">
        <v>215</v>
      </c>
      <c r="D73" s="2" t="s">
        <v>627</v>
      </c>
      <c r="E73" s="2" t="s">
        <v>628</v>
      </c>
      <c r="F73" s="2" t="s">
        <v>214</v>
      </c>
      <c r="G73" s="2" t="s">
        <v>76</v>
      </c>
      <c r="H73" s="2" t="s">
        <v>90</v>
      </c>
      <c r="I73" s="2" t="s">
        <v>619</v>
      </c>
      <c r="J73" s="2" t="s">
        <v>629</v>
      </c>
      <c r="K73" s="3">
        <v>46293</v>
      </c>
      <c r="L73" s="2" t="s">
        <v>625</v>
      </c>
    </row>
    <row r="74" spans="1:12" ht="45" customHeight="1">
      <c r="A74" s="2" t="s">
        <v>630</v>
      </c>
      <c r="B74" s="2" t="s">
        <v>616</v>
      </c>
      <c r="C74" s="2" t="s">
        <v>215</v>
      </c>
      <c r="D74" s="2" t="s">
        <v>631</v>
      </c>
      <c r="E74" s="2" t="s">
        <v>632</v>
      </c>
      <c r="F74" s="2" t="s">
        <v>214</v>
      </c>
      <c r="G74" s="2" t="s">
        <v>76</v>
      </c>
      <c r="H74" s="2" t="s">
        <v>90</v>
      </c>
      <c r="I74" s="2" t="s">
        <v>619</v>
      </c>
      <c r="J74" s="2" t="s">
        <v>629</v>
      </c>
      <c r="K74" s="3">
        <v>46294</v>
      </c>
      <c r="L74" s="2" t="s">
        <v>625</v>
      </c>
    </row>
    <row r="75" spans="1:12" ht="45" customHeight="1">
      <c r="A75" s="2" t="s">
        <v>633</v>
      </c>
      <c r="B75" s="2" t="s">
        <v>616</v>
      </c>
      <c r="C75" s="2" t="s">
        <v>215</v>
      </c>
      <c r="D75" s="2" t="s">
        <v>634</v>
      </c>
      <c r="E75" s="2" t="s">
        <v>635</v>
      </c>
      <c r="F75" s="2" t="s">
        <v>214</v>
      </c>
      <c r="G75" s="2" t="s">
        <v>13</v>
      </c>
      <c r="H75" s="2" t="s">
        <v>90</v>
      </c>
      <c r="I75" s="2" t="s">
        <v>619</v>
      </c>
      <c r="J75" s="2" t="s">
        <v>629</v>
      </c>
      <c r="K75" s="3">
        <v>46295</v>
      </c>
      <c r="L75" s="2" t="s">
        <v>625</v>
      </c>
    </row>
    <row r="76" spans="1:12" ht="45" customHeight="1">
      <c r="A76" s="2" t="s">
        <v>636</v>
      </c>
      <c r="B76" s="2" t="s">
        <v>616</v>
      </c>
      <c r="C76" s="2" t="s">
        <v>85</v>
      </c>
      <c r="D76" s="2" t="s">
        <v>637</v>
      </c>
      <c r="E76" s="2" t="s">
        <v>638</v>
      </c>
      <c r="F76" s="2" t="s">
        <v>93</v>
      </c>
      <c r="G76" s="2" t="s">
        <v>97</v>
      </c>
      <c r="H76" s="2" t="s">
        <v>90</v>
      </c>
      <c r="I76" s="2" t="s">
        <v>619</v>
      </c>
      <c r="J76" s="2" t="s">
        <v>639</v>
      </c>
      <c r="K76" s="3">
        <v>46296</v>
      </c>
      <c r="L76" s="2" t="s">
        <v>625</v>
      </c>
    </row>
    <row r="77" spans="1:12" ht="45" customHeight="1">
      <c r="A77" s="2" t="s">
        <v>640</v>
      </c>
      <c r="B77" s="2" t="s">
        <v>616</v>
      </c>
      <c r="C77" s="2" t="s">
        <v>85</v>
      </c>
      <c r="D77" s="2" t="s">
        <v>641</v>
      </c>
      <c r="E77" s="2" t="s">
        <v>642</v>
      </c>
      <c r="F77" s="2" t="s">
        <v>100</v>
      </c>
      <c r="G77" s="2" t="s">
        <v>97</v>
      </c>
      <c r="H77" s="2" t="s">
        <v>77</v>
      </c>
      <c r="I77" s="2" t="s">
        <v>619</v>
      </c>
      <c r="J77" s="2" t="s">
        <v>639</v>
      </c>
      <c r="K77" s="3">
        <v>46291</v>
      </c>
      <c r="L77" s="2" t="s">
        <v>643</v>
      </c>
    </row>
    <row r="78" spans="1:12" ht="45" customHeight="1">
      <c r="A78" s="2" t="s">
        <v>644</v>
      </c>
      <c r="B78" s="2" t="s">
        <v>616</v>
      </c>
      <c r="C78" s="2" t="s">
        <v>85</v>
      </c>
      <c r="D78" s="2" t="s">
        <v>645</v>
      </c>
      <c r="E78" s="2" t="s">
        <v>646</v>
      </c>
      <c r="F78" s="2" t="s">
        <v>100</v>
      </c>
      <c r="G78" s="2" t="s">
        <v>105</v>
      </c>
      <c r="H78" s="2" t="s">
        <v>90</v>
      </c>
      <c r="I78" s="2" t="s">
        <v>619</v>
      </c>
      <c r="J78" s="2" t="s">
        <v>639</v>
      </c>
      <c r="K78" s="3">
        <v>46292</v>
      </c>
      <c r="L78" s="2" t="s">
        <v>625</v>
      </c>
    </row>
    <row r="79" spans="1:12" ht="45" customHeight="1">
      <c r="A79" s="2" t="s">
        <v>647</v>
      </c>
      <c r="B79" s="2" t="s">
        <v>616</v>
      </c>
      <c r="C79" s="2" t="s">
        <v>85</v>
      </c>
      <c r="D79" s="2" t="s">
        <v>648</v>
      </c>
      <c r="E79" s="2" t="s">
        <v>649</v>
      </c>
      <c r="F79" s="2" t="s">
        <v>108</v>
      </c>
      <c r="G79" s="2" t="s">
        <v>89</v>
      </c>
      <c r="H79" s="2" t="s">
        <v>434</v>
      </c>
      <c r="I79" s="2" t="s">
        <v>650</v>
      </c>
      <c r="J79" s="2" t="s">
        <v>639</v>
      </c>
      <c r="K79" s="3">
        <v>46293</v>
      </c>
      <c r="L79" s="2" t="s">
        <v>651</v>
      </c>
    </row>
    <row r="80" spans="1:12" ht="45" customHeight="1">
      <c r="A80" s="2" t="s">
        <v>652</v>
      </c>
      <c r="B80" s="2" t="s">
        <v>616</v>
      </c>
      <c r="C80" s="2" t="s">
        <v>85</v>
      </c>
      <c r="D80" s="2" t="s">
        <v>653</v>
      </c>
      <c r="E80" s="2" t="s">
        <v>654</v>
      </c>
      <c r="F80" s="2" t="s">
        <v>115</v>
      </c>
      <c r="G80" s="2" t="s">
        <v>105</v>
      </c>
      <c r="H80" s="2" t="s">
        <v>90</v>
      </c>
      <c r="I80" s="2" t="s">
        <v>650</v>
      </c>
      <c r="J80" s="2" t="s">
        <v>639</v>
      </c>
      <c r="K80" s="3">
        <v>46294</v>
      </c>
      <c r="L80" s="2" t="s">
        <v>655</v>
      </c>
    </row>
    <row r="81" spans="1:12" ht="45" customHeight="1">
      <c r="A81" s="2" t="s">
        <v>656</v>
      </c>
      <c r="B81" s="2" t="s">
        <v>616</v>
      </c>
      <c r="C81" s="2" t="s">
        <v>85</v>
      </c>
      <c r="D81" s="2" t="s">
        <v>657</v>
      </c>
      <c r="E81" s="2" t="s">
        <v>658</v>
      </c>
      <c r="F81" s="2" t="s">
        <v>121</v>
      </c>
      <c r="G81" s="2" t="s">
        <v>97</v>
      </c>
      <c r="H81" s="2" t="s">
        <v>90</v>
      </c>
      <c r="I81" s="2" t="s">
        <v>619</v>
      </c>
      <c r="J81" s="2" t="s">
        <v>639</v>
      </c>
      <c r="K81" s="3">
        <v>46295</v>
      </c>
      <c r="L81" s="2" t="s">
        <v>625</v>
      </c>
    </row>
    <row r="82" spans="1:12" ht="45" customHeight="1">
      <c r="A82" s="2" t="s">
        <v>659</v>
      </c>
      <c r="B82" s="2" t="s">
        <v>616</v>
      </c>
      <c r="C82" s="2" t="s">
        <v>101</v>
      </c>
      <c r="D82" s="2" t="s">
        <v>660</v>
      </c>
      <c r="E82" s="2" t="s">
        <v>661</v>
      </c>
      <c r="F82" s="2" t="s">
        <v>128</v>
      </c>
      <c r="G82" s="2" t="s">
        <v>18</v>
      </c>
      <c r="H82" s="2" t="s">
        <v>90</v>
      </c>
      <c r="I82" s="2" t="s">
        <v>662</v>
      </c>
      <c r="J82" s="2" t="s">
        <v>663</v>
      </c>
      <c r="K82" s="3">
        <v>46296</v>
      </c>
      <c r="L82" s="2" t="s">
        <v>664</v>
      </c>
    </row>
    <row r="83" spans="1:12" ht="45" customHeight="1">
      <c r="A83" s="2" t="s">
        <v>665</v>
      </c>
      <c r="B83" s="2" t="s">
        <v>616</v>
      </c>
      <c r="C83" s="2" t="s">
        <v>101</v>
      </c>
      <c r="D83" s="2" t="s">
        <v>666</v>
      </c>
      <c r="E83" s="2" t="s">
        <v>667</v>
      </c>
      <c r="F83" s="2" t="s">
        <v>100</v>
      </c>
      <c r="G83" s="2" t="s">
        <v>105</v>
      </c>
      <c r="H83" s="2" t="s">
        <v>90</v>
      </c>
      <c r="I83" s="2" t="s">
        <v>619</v>
      </c>
      <c r="J83" s="2" t="s">
        <v>663</v>
      </c>
      <c r="K83" s="3">
        <v>46291</v>
      </c>
      <c r="L83" s="2" t="s">
        <v>668</v>
      </c>
    </row>
    <row r="84" spans="1:12" ht="45" customHeight="1">
      <c r="A84" s="2" t="s">
        <v>669</v>
      </c>
      <c r="B84" s="2" t="s">
        <v>616</v>
      </c>
      <c r="C84" s="2" t="s">
        <v>101</v>
      </c>
      <c r="D84" s="2" t="s">
        <v>670</v>
      </c>
      <c r="E84" s="2" t="s">
        <v>671</v>
      </c>
      <c r="F84" s="2" t="s">
        <v>115</v>
      </c>
      <c r="G84" s="2" t="s">
        <v>105</v>
      </c>
      <c r="H84" s="2" t="s">
        <v>90</v>
      </c>
      <c r="I84" s="2" t="s">
        <v>650</v>
      </c>
      <c r="J84" s="2" t="s">
        <v>663</v>
      </c>
      <c r="K84" s="3">
        <v>46292</v>
      </c>
      <c r="L84" s="2" t="s">
        <v>672</v>
      </c>
    </row>
    <row r="85" spans="1:12" ht="45" customHeight="1">
      <c r="A85" s="2" t="s">
        <v>673</v>
      </c>
      <c r="B85" s="2" t="s">
        <v>616</v>
      </c>
      <c r="C85" s="2" t="s">
        <v>101</v>
      </c>
      <c r="D85" s="2" t="s">
        <v>674</v>
      </c>
      <c r="E85" s="2" t="s">
        <v>675</v>
      </c>
      <c r="F85" s="2" t="s">
        <v>134</v>
      </c>
      <c r="G85" s="2" t="s">
        <v>18</v>
      </c>
      <c r="H85" s="2" t="s">
        <v>90</v>
      </c>
      <c r="I85" s="2" t="s">
        <v>619</v>
      </c>
      <c r="J85" s="2" t="s">
        <v>663</v>
      </c>
      <c r="K85" s="3">
        <v>46293</v>
      </c>
      <c r="L85" s="2" t="s">
        <v>625</v>
      </c>
    </row>
    <row r="86" spans="1:12" ht="45" customHeight="1">
      <c r="A86" s="2" t="s">
        <v>676</v>
      </c>
      <c r="B86" s="2" t="s">
        <v>616</v>
      </c>
      <c r="C86" s="2" t="s">
        <v>101</v>
      </c>
      <c r="D86" s="2" t="s">
        <v>677</v>
      </c>
      <c r="E86" s="2" t="s">
        <v>678</v>
      </c>
      <c r="F86" s="2" t="s">
        <v>134</v>
      </c>
      <c r="G86" s="2" t="s">
        <v>18</v>
      </c>
      <c r="H86" s="2" t="s">
        <v>90</v>
      </c>
      <c r="I86" s="2" t="s">
        <v>619</v>
      </c>
      <c r="J86" s="2" t="s">
        <v>663</v>
      </c>
      <c r="K86" s="3">
        <v>46294</v>
      </c>
      <c r="L86" s="2" t="s">
        <v>679</v>
      </c>
    </row>
    <row r="87" spans="1:12" ht="45" customHeight="1">
      <c r="A87" s="2" t="s">
        <v>680</v>
      </c>
      <c r="B87" s="2" t="s">
        <v>616</v>
      </c>
      <c r="C87" s="2" t="s">
        <v>101</v>
      </c>
      <c r="D87" s="2" t="s">
        <v>681</v>
      </c>
      <c r="E87" s="2" t="s">
        <v>682</v>
      </c>
      <c r="F87" s="2" t="s">
        <v>140</v>
      </c>
      <c r="G87" s="2" t="s">
        <v>105</v>
      </c>
      <c r="H87" s="2" t="s">
        <v>90</v>
      </c>
      <c r="I87" s="2" t="s">
        <v>662</v>
      </c>
      <c r="J87" s="2" t="s">
        <v>663</v>
      </c>
      <c r="K87" s="3">
        <v>46295</v>
      </c>
      <c r="L87" s="2" t="s">
        <v>664</v>
      </c>
    </row>
    <row r="88" spans="1:12" ht="45" customHeight="1">
      <c r="A88" s="2" t="s">
        <v>683</v>
      </c>
      <c r="B88" s="2" t="s">
        <v>616</v>
      </c>
      <c r="C88" s="2" t="s">
        <v>147</v>
      </c>
      <c r="D88" s="2" t="s">
        <v>684</v>
      </c>
      <c r="E88" s="2" t="s">
        <v>685</v>
      </c>
      <c r="F88" s="2" t="s">
        <v>146</v>
      </c>
      <c r="G88" s="2" t="s">
        <v>76</v>
      </c>
      <c r="H88" s="2" t="s">
        <v>90</v>
      </c>
      <c r="I88" s="2" t="s">
        <v>619</v>
      </c>
      <c r="J88" s="2" t="s">
        <v>686</v>
      </c>
      <c r="K88" s="3">
        <v>46296</v>
      </c>
      <c r="L88" s="2" t="s">
        <v>625</v>
      </c>
    </row>
    <row r="89" spans="1:12" ht="45" customHeight="1">
      <c r="A89" s="2" t="s">
        <v>687</v>
      </c>
      <c r="B89" s="2" t="s">
        <v>616</v>
      </c>
      <c r="C89" s="2" t="s">
        <v>147</v>
      </c>
      <c r="D89" s="2" t="s">
        <v>688</v>
      </c>
      <c r="E89" s="2" t="s">
        <v>689</v>
      </c>
      <c r="F89" s="2" t="s">
        <v>146</v>
      </c>
      <c r="G89" s="2" t="s">
        <v>18</v>
      </c>
      <c r="H89" s="2" t="s">
        <v>90</v>
      </c>
      <c r="I89" s="2" t="s">
        <v>619</v>
      </c>
      <c r="J89" s="2" t="s">
        <v>686</v>
      </c>
      <c r="K89" s="3">
        <v>46291</v>
      </c>
      <c r="L89" s="2" t="s">
        <v>625</v>
      </c>
    </row>
    <row r="90" spans="1:12" ht="45" customHeight="1">
      <c r="A90" s="2" t="s">
        <v>690</v>
      </c>
      <c r="B90" s="2" t="s">
        <v>616</v>
      </c>
      <c r="C90" s="2" t="s">
        <v>154</v>
      </c>
      <c r="D90" s="2" t="s">
        <v>691</v>
      </c>
      <c r="E90" s="2" t="s">
        <v>692</v>
      </c>
      <c r="F90" s="2" t="s">
        <v>153</v>
      </c>
      <c r="G90" s="2" t="s">
        <v>89</v>
      </c>
      <c r="H90" s="2" t="s">
        <v>90</v>
      </c>
      <c r="I90" s="2" t="s">
        <v>619</v>
      </c>
      <c r="J90" s="2" t="s">
        <v>693</v>
      </c>
      <c r="K90" s="3">
        <v>46292</v>
      </c>
      <c r="L90" s="2" t="s">
        <v>694</v>
      </c>
    </row>
    <row r="91" spans="1:12" ht="45" customHeight="1">
      <c r="A91" s="2" t="s">
        <v>695</v>
      </c>
      <c r="B91" s="2" t="s">
        <v>616</v>
      </c>
      <c r="C91" s="2" t="s">
        <v>154</v>
      </c>
      <c r="D91" s="2" t="s">
        <v>696</v>
      </c>
      <c r="E91" s="2" t="s">
        <v>697</v>
      </c>
      <c r="F91" s="2" t="s">
        <v>160</v>
      </c>
      <c r="G91" s="2" t="s">
        <v>89</v>
      </c>
      <c r="H91" s="2" t="s">
        <v>90</v>
      </c>
      <c r="I91" s="2" t="s">
        <v>650</v>
      </c>
      <c r="J91" s="2" t="s">
        <v>693</v>
      </c>
      <c r="K91" s="3">
        <v>46293</v>
      </c>
      <c r="L91" s="2" t="s">
        <v>698</v>
      </c>
    </row>
    <row r="92" spans="1:12" ht="45" customHeight="1">
      <c r="A92" s="2" t="s">
        <v>699</v>
      </c>
      <c r="B92" s="2" t="s">
        <v>616</v>
      </c>
      <c r="C92" s="2" t="s">
        <v>154</v>
      </c>
      <c r="D92" s="2" t="s">
        <v>700</v>
      </c>
      <c r="E92" s="2" t="s">
        <v>701</v>
      </c>
      <c r="F92" s="2" t="s">
        <v>160</v>
      </c>
      <c r="G92" s="2" t="s">
        <v>89</v>
      </c>
      <c r="H92" s="2" t="s">
        <v>90</v>
      </c>
      <c r="I92" s="2" t="s">
        <v>619</v>
      </c>
      <c r="J92" s="2" t="s">
        <v>693</v>
      </c>
      <c r="K92" s="3">
        <v>46294</v>
      </c>
      <c r="L92" s="2" t="s">
        <v>625</v>
      </c>
    </row>
    <row r="93" spans="1:12" ht="45" customHeight="1">
      <c r="A93" s="2" t="s">
        <v>702</v>
      </c>
      <c r="B93" s="2" t="s">
        <v>616</v>
      </c>
      <c r="C93" s="2" t="s">
        <v>154</v>
      </c>
      <c r="D93" s="2" t="s">
        <v>703</v>
      </c>
      <c r="E93" s="2" t="s">
        <v>704</v>
      </c>
      <c r="F93" s="2" t="s">
        <v>160</v>
      </c>
      <c r="G93" s="2" t="s">
        <v>89</v>
      </c>
      <c r="H93" s="2" t="s">
        <v>434</v>
      </c>
      <c r="I93" s="2" t="s">
        <v>619</v>
      </c>
      <c r="J93" s="2" t="s">
        <v>693</v>
      </c>
      <c r="K93" s="3">
        <v>46295</v>
      </c>
      <c r="L93" s="2" t="s">
        <v>625</v>
      </c>
    </row>
    <row r="94" spans="1:12" ht="45" customHeight="1">
      <c r="A94" s="2" t="s">
        <v>705</v>
      </c>
      <c r="B94" s="2" t="s">
        <v>616</v>
      </c>
      <c r="C94" s="2" t="s">
        <v>154</v>
      </c>
      <c r="D94" s="2" t="s">
        <v>706</v>
      </c>
      <c r="E94" s="2" t="s">
        <v>707</v>
      </c>
      <c r="F94" s="2" t="s">
        <v>153</v>
      </c>
      <c r="G94" s="2" t="s">
        <v>18</v>
      </c>
      <c r="H94" s="2" t="s">
        <v>434</v>
      </c>
      <c r="I94" s="2" t="s">
        <v>619</v>
      </c>
      <c r="J94" s="2" t="s">
        <v>693</v>
      </c>
      <c r="K94" s="3">
        <v>46296</v>
      </c>
      <c r="L94" s="2" t="s">
        <v>625</v>
      </c>
    </row>
    <row r="95" spans="1:12" ht="45" customHeight="1">
      <c r="A95" s="2" t="s">
        <v>708</v>
      </c>
      <c r="B95" s="2" t="s">
        <v>616</v>
      </c>
      <c r="C95" s="2" t="s">
        <v>174</v>
      </c>
      <c r="D95" s="2" t="s">
        <v>709</v>
      </c>
      <c r="E95" s="2" t="s">
        <v>710</v>
      </c>
      <c r="F95" s="2" t="s">
        <v>173</v>
      </c>
      <c r="G95" s="2" t="s">
        <v>89</v>
      </c>
      <c r="H95" s="2" t="s">
        <v>90</v>
      </c>
      <c r="I95" s="2" t="s">
        <v>650</v>
      </c>
      <c r="J95" s="2" t="s">
        <v>711</v>
      </c>
      <c r="K95" s="3">
        <v>46291</v>
      </c>
      <c r="L95" s="2" t="s">
        <v>712</v>
      </c>
    </row>
    <row r="96" spans="1:12" ht="45" customHeight="1">
      <c r="A96" s="2" t="s">
        <v>713</v>
      </c>
      <c r="B96" s="2" t="s">
        <v>616</v>
      </c>
      <c r="C96" s="2" t="s">
        <v>174</v>
      </c>
      <c r="D96" s="2" t="s">
        <v>714</v>
      </c>
      <c r="E96" s="2" t="s">
        <v>715</v>
      </c>
      <c r="F96" s="2" t="s">
        <v>173</v>
      </c>
      <c r="G96" s="2" t="s">
        <v>76</v>
      </c>
      <c r="H96" s="2" t="s">
        <v>434</v>
      </c>
      <c r="I96" s="2" t="s">
        <v>619</v>
      </c>
      <c r="J96" s="2" t="s">
        <v>711</v>
      </c>
      <c r="K96" s="3">
        <v>46292</v>
      </c>
      <c r="L96" s="2" t="s">
        <v>625</v>
      </c>
    </row>
    <row r="97" spans="1:12" ht="45" customHeight="1">
      <c r="A97" s="2" t="s">
        <v>716</v>
      </c>
      <c r="B97" s="2" t="s">
        <v>616</v>
      </c>
      <c r="C97" s="2" t="s">
        <v>181</v>
      </c>
      <c r="D97" s="2" t="s">
        <v>717</v>
      </c>
      <c r="E97" s="2" t="s">
        <v>718</v>
      </c>
      <c r="F97" s="2" t="s">
        <v>180</v>
      </c>
      <c r="G97" s="2" t="s">
        <v>89</v>
      </c>
      <c r="H97" s="2" t="s">
        <v>434</v>
      </c>
      <c r="I97" s="2" t="s">
        <v>619</v>
      </c>
      <c r="J97" s="2" t="s">
        <v>719</v>
      </c>
      <c r="K97" s="3">
        <v>46293</v>
      </c>
      <c r="L97" s="2" t="s">
        <v>625</v>
      </c>
    </row>
    <row r="98" spans="1:12" ht="45" customHeight="1">
      <c r="A98" s="2" t="s">
        <v>720</v>
      </c>
      <c r="B98" s="2" t="s">
        <v>616</v>
      </c>
      <c r="C98" s="2" t="s">
        <v>181</v>
      </c>
      <c r="D98" s="2" t="s">
        <v>721</v>
      </c>
      <c r="E98" s="2" t="s">
        <v>722</v>
      </c>
      <c r="F98" s="2" t="s">
        <v>180</v>
      </c>
      <c r="G98" s="2" t="s">
        <v>89</v>
      </c>
      <c r="H98" s="2" t="s">
        <v>434</v>
      </c>
      <c r="I98" s="2" t="s">
        <v>662</v>
      </c>
      <c r="J98" s="2" t="s">
        <v>719</v>
      </c>
      <c r="K98" s="3">
        <v>46294</v>
      </c>
      <c r="L98" s="2" t="s">
        <v>664</v>
      </c>
    </row>
    <row r="99" spans="1:12" ht="45" customHeight="1">
      <c r="A99" s="2" t="s">
        <v>723</v>
      </c>
      <c r="B99" s="2" t="s">
        <v>616</v>
      </c>
      <c r="C99" s="2" t="s">
        <v>181</v>
      </c>
      <c r="D99" s="2" t="s">
        <v>724</v>
      </c>
      <c r="E99" s="2" t="s">
        <v>725</v>
      </c>
      <c r="F99" s="2" t="s">
        <v>180</v>
      </c>
      <c r="G99" s="2" t="s">
        <v>89</v>
      </c>
      <c r="H99" s="2" t="s">
        <v>434</v>
      </c>
      <c r="I99" s="2" t="s">
        <v>619</v>
      </c>
      <c r="J99" s="2" t="s">
        <v>719</v>
      </c>
      <c r="K99" s="3">
        <v>46295</v>
      </c>
      <c r="L99" s="2" t="s">
        <v>625</v>
      </c>
    </row>
    <row r="100" spans="1:12" ht="45" customHeight="1">
      <c r="A100" s="2" t="s">
        <v>726</v>
      </c>
      <c r="B100" s="2" t="s">
        <v>616</v>
      </c>
      <c r="C100" s="2" t="s">
        <v>167</v>
      </c>
      <c r="D100" s="2" t="s">
        <v>727</v>
      </c>
      <c r="E100" s="2" t="s">
        <v>728</v>
      </c>
      <c r="F100" s="2" t="s">
        <v>166</v>
      </c>
      <c r="G100" s="2" t="s">
        <v>89</v>
      </c>
      <c r="H100" s="2" t="s">
        <v>90</v>
      </c>
      <c r="I100" s="2" t="s">
        <v>619</v>
      </c>
      <c r="J100" s="2" t="s">
        <v>729</v>
      </c>
      <c r="K100" s="3">
        <v>46296</v>
      </c>
      <c r="L100" s="2" t="s">
        <v>625</v>
      </c>
    </row>
    <row r="101" spans="1:12" ht="45" customHeight="1">
      <c r="A101" s="2" t="s">
        <v>730</v>
      </c>
      <c r="B101" s="2" t="s">
        <v>616</v>
      </c>
      <c r="C101" s="2" t="s">
        <v>167</v>
      </c>
      <c r="D101" s="2" t="s">
        <v>731</v>
      </c>
      <c r="E101" s="2" t="s">
        <v>732</v>
      </c>
      <c r="F101" s="2" t="s">
        <v>166</v>
      </c>
      <c r="G101" s="2" t="s">
        <v>18</v>
      </c>
      <c r="H101" s="2" t="s">
        <v>434</v>
      </c>
      <c r="I101" s="2" t="s">
        <v>662</v>
      </c>
      <c r="J101" s="2" t="s">
        <v>729</v>
      </c>
      <c r="K101" s="3">
        <v>46291</v>
      </c>
      <c r="L101" s="2" t="s">
        <v>664</v>
      </c>
    </row>
    <row r="102" spans="1:12" ht="45" customHeight="1">
      <c r="A102" s="2" t="s">
        <v>733</v>
      </c>
      <c r="B102" s="2" t="s">
        <v>616</v>
      </c>
      <c r="C102" s="2" t="s">
        <v>122</v>
      </c>
      <c r="D102" s="2" t="s">
        <v>734</v>
      </c>
      <c r="E102" s="2" t="s">
        <v>735</v>
      </c>
      <c r="F102" s="2" t="s">
        <v>187</v>
      </c>
      <c r="G102" s="2" t="s">
        <v>97</v>
      </c>
      <c r="H102" s="2" t="s">
        <v>90</v>
      </c>
      <c r="I102" s="2" t="s">
        <v>619</v>
      </c>
      <c r="J102" s="2" t="s">
        <v>736</v>
      </c>
      <c r="K102" s="3">
        <v>46292</v>
      </c>
      <c r="L102" s="2" t="s">
        <v>737</v>
      </c>
    </row>
    <row r="103" spans="1:12" ht="45" customHeight="1">
      <c r="A103" s="2" t="s">
        <v>738</v>
      </c>
      <c r="B103" s="2" t="s">
        <v>616</v>
      </c>
      <c r="C103" s="2" t="s">
        <v>122</v>
      </c>
      <c r="D103" s="2" t="s">
        <v>739</v>
      </c>
      <c r="E103" s="2" t="s">
        <v>740</v>
      </c>
      <c r="F103" s="2" t="s">
        <v>187</v>
      </c>
      <c r="G103" s="2" t="s">
        <v>97</v>
      </c>
      <c r="H103" s="2" t="s">
        <v>90</v>
      </c>
      <c r="I103" s="2" t="s">
        <v>662</v>
      </c>
      <c r="J103" s="2" t="s">
        <v>736</v>
      </c>
      <c r="K103" s="3">
        <v>46293</v>
      </c>
      <c r="L103" s="2" t="s">
        <v>664</v>
      </c>
    </row>
    <row r="104" spans="1:12" ht="45" customHeight="1">
      <c r="A104" s="2" t="s">
        <v>741</v>
      </c>
      <c r="B104" s="2" t="s">
        <v>616</v>
      </c>
      <c r="C104" s="2" t="s">
        <v>122</v>
      </c>
      <c r="D104" s="2" t="s">
        <v>742</v>
      </c>
      <c r="E104" s="2" t="s">
        <v>743</v>
      </c>
      <c r="F104" s="2" t="s">
        <v>187</v>
      </c>
      <c r="G104" s="2" t="s">
        <v>105</v>
      </c>
      <c r="H104" s="2" t="s">
        <v>434</v>
      </c>
      <c r="I104" s="2" t="s">
        <v>619</v>
      </c>
      <c r="J104" s="2" t="s">
        <v>736</v>
      </c>
      <c r="K104" s="3">
        <v>46294</v>
      </c>
      <c r="L104" s="2" t="s">
        <v>625</v>
      </c>
    </row>
    <row r="105" spans="1:12" ht="45" customHeight="1">
      <c r="A105" s="2" t="s">
        <v>744</v>
      </c>
      <c r="B105" s="2" t="s">
        <v>616</v>
      </c>
      <c r="C105" s="2" t="s">
        <v>194</v>
      </c>
      <c r="D105" s="2" t="s">
        <v>745</v>
      </c>
      <c r="E105" s="2" t="s">
        <v>746</v>
      </c>
      <c r="F105" s="2" t="s">
        <v>193</v>
      </c>
      <c r="G105" s="2" t="s">
        <v>105</v>
      </c>
      <c r="H105" s="2" t="s">
        <v>434</v>
      </c>
      <c r="I105" s="2" t="s">
        <v>619</v>
      </c>
      <c r="J105" s="2" t="s">
        <v>747</v>
      </c>
      <c r="K105" s="3">
        <v>46295</v>
      </c>
      <c r="L105" s="2" t="s">
        <v>748</v>
      </c>
    </row>
    <row r="106" spans="1:12" ht="45" customHeight="1">
      <c r="A106" s="2" t="s">
        <v>749</v>
      </c>
      <c r="B106" s="2" t="s">
        <v>616</v>
      </c>
      <c r="C106" s="2" t="s">
        <v>194</v>
      </c>
      <c r="D106" s="2" t="s">
        <v>750</v>
      </c>
      <c r="E106" s="2" t="s">
        <v>751</v>
      </c>
      <c r="F106" s="2" t="s">
        <v>193</v>
      </c>
      <c r="G106" s="2" t="s">
        <v>97</v>
      </c>
      <c r="H106" s="2" t="s">
        <v>434</v>
      </c>
      <c r="I106" s="2" t="s">
        <v>619</v>
      </c>
      <c r="J106" s="2" t="s">
        <v>747</v>
      </c>
      <c r="K106" s="3">
        <v>46296</v>
      </c>
      <c r="L106" s="2" t="s">
        <v>625</v>
      </c>
    </row>
    <row r="107" spans="1:12" ht="45" customHeight="1">
      <c r="A107" s="2" t="s">
        <v>752</v>
      </c>
      <c r="B107" s="2" t="s">
        <v>616</v>
      </c>
      <c r="C107" s="2" t="s">
        <v>201</v>
      </c>
      <c r="D107" s="2" t="s">
        <v>753</v>
      </c>
      <c r="E107" s="2" t="s">
        <v>754</v>
      </c>
      <c r="F107" s="2" t="s">
        <v>200</v>
      </c>
      <c r="G107" s="2" t="s">
        <v>105</v>
      </c>
      <c r="H107" s="2" t="s">
        <v>90</v>
      </c>
      <c r="I107" s="2" t="s">
        <v>619</v>
      </c>
      <c r="J107" s="2" t="s">
        <v>755</v>
      </c>
      <c r="K107" s="3">
        <v>46291</v>
      </c>
      <c r="L107" s="2" t="s">
        <v>625</v>
      </c>
    </row>
    <row r="108" spans="1:12" ht="45" customHeight="1">
      <c r="A108" s="2" t="s">
        <v>756</v>
      </c>
      <c r="B108" s="2" t="s">
        <v>616</v>
      </c>
      <c r="C108" s="2" t="s">
        <v>208</v>
      </c>
      <c r="D108" s="2" t="s">
        <v>757</v>
      </c>
      <c r="E108" s="2" t="s">
        <v>758</v>
      </c>
      <c r="F108" s="2" t="s">
        <v>207</v>
      </c>
      <c r="G108" s="2" t="s">
        <v>105</v>
      </c>
      <c r="H108" s="2" t="s">
        <v>90</v>
      </c>
      <c r="I108" s="2" t="s">
        <v>650</v>
      </c>
      <c r="J108" s="2" t="s">
        <v>759</v>
      </c>
      <c r="K108" s="3">
        <v>46292</v>
      </c>
      <c r="L108" s="2" t="s">
        <v>760</v>
      </c>
    </row>
    <row r="109" spans="1:12" ht="45" customHeight="1">
      <c r="A109" s="2" t="s">
        <v>761</v>
      </c>
      <c r="B109" s="2" t="s">
        <v>616</v>
      </c>
      <c r="C109" s="2" t="s">
        <v>222</v>
      </c>
      <c r="D109" s="2" t="s">
        <v>762</v>
      </c>
      <c r="E109" s="2" t="s">
        <v>763</v>
      </c>
      <c r="F109" s="2" t="s">
        <v>221</v>
      </c>
      <c r="G109" s="2" t="s">
        <v>18</v>
      </c>
      <c r="H109" s="2" t="s">
        <v>90</v>
      </c>
      <c r="I109" s="2" t="s">
        <v>650</v>
      </c>
      <c r="J109" s="2" t="s">
        <v>764</v>
      </c>
      <c r="K109" s="3">
        <v>46293</v>
      </c>
      <c r="L109" s="2" t="s">
        <v>765</v>
      </c>
    </row>
    <row r="110" spans="1:12" ht="45" customHeight="1">
      <c r="A110" s="2" t="s">
        <v>766</v>
      </c>
      <c r="B110" s="2" t="s">
        <v>616</v>
      </c>
      <c r="C110" s="2" t="s">
        <v>222</v>
      </c>
      <c r="D110" s="2" t="s">
        <v>767</v>
      </c>
      <c r="E110" s="2" t="s">
        <v>768</v>
      </c>
      <c r="F110" s="2" t="s">
        <v>228</v>
      </c>
      <c r="G110" s="2" t="s">
        <v>18</v>
      </c>
      <c r="H110" s="2" t="s">
        <v>90</v>
      </c>
      <c r="I110" s="2" t="s">
        <v>619</v>
      </c>
      <c r="J110" s="2" t="s">
        <v>764</v>
      </c>
      <c r="K110" s="3">
        <v>46294</v>
      </c>
      <c r="L110" s="2" t="s">
        <v>625</v>
      </c>
    </row>
    <row r="111" spans="1:12" ht="45" customHeight="1">
      <c r="A111" s="2" t="s">
        <v>769</v>
      </c>
      <c r="B111" s="2" t="s">
        <v>616</v>
      </c>
      <c r="C111" s="2" t="s">
        <v>222</v>
      </c>
      <c r="D111" s="2" t="s">
        <v>770</v>
      </c>
      <c r="E111" s="2" t="s">
        <v>771</v>
      </c>
      <c r="F111" s="2" t="s">
        <v>228</v>
      </c>
      <c r="G111" s="2" t="s">
        <v>13</v>
      </c>
      <c r="H111" s="2" t="s">
        <v>90</v>
      </c>
      <c r="I111" s="2" t="s">
        <v>619</v>
      </c>
      <c r="J111" s="2" t="s">
        <v>764</v>
      </c>
      <c r="K111" s="3">
        <v>46295</v>
      </c>
      <c r="L111" s="2" t="s">
        <v>625</v>
      </c>
    </row>
    <row r="112" spans="1:12" ht="45" customHeight="1">
      <c r="A112" s="2" t="s">
        <v>772</v>
      </c>
      <c r="B112" s="2" t="s">
        <v>616</v>
      </c>
      <c r="C112" s="2" t="s">
        <v>773</v>
      </c>
      <c r="D112" s="2" t="s">
        <v>774</v>
      </c>
      <c r="E112" s="2" t="s">
        <v>775</v>
      </c>
      <c r="F112" s="2" t="s">
        <v>234</v>
      </c>
      <c r="G112" s="2" t="s">
        <v>13</v>
      </c>
      <c r="H112" s="2" t="s">
        <v>90</v>
      </c>
      <c r="I112" s="2" t="s">
        <v>650</v>
      </c>
      <c r="J112" s="2" t="s">
        <v>776</v>
      </c>
      <c r="K112" s="3">
        <v>46296</v>
      </c>
      <c r="L112" s="2" t="s">
        <v>777</v>
      </c>
    </row>
    <row r="113" spans="1:12" ht="45" customHeight="1">
      <c r="A113" s="2" t="s">
        <v>778</v>
      </c>
      <c r="B113" s="2" t="s">
        <v>616</v>
      </c>
      <c r="C113" s="2" t="s">
        <v>779</v>
      </c>
      <c r="D113" s="2" t="s">
        <v>780</v>
      </c>
      <c r="E113" s="2" t="s">
        <v>781</v>
      </c>
      <c r="F113" s="2" t="s">
        <v>234</v>
      </c>
      <c r="G113" s="2" t="s">
        <v>13</v>
      </c>
      <c r="H113" s="2" t="s">
        <v>90</v>
      </c>
      <c r="I113" s="2" t="s">
        <v>619</v>
      </c>
      <c r="J113" s="2" t="s">
        <v>782</v>
      </c>
      <c r="K113" s="3">
        <v>46291</v>
      </c>
      <c r="L113" s="2" t="s">
        <v>625</v>
      </c>
    </row>
    <row r="114" spans="1:12" ht="45" customHeight="1">
      <c r="A114" s="2" t="s">
        <v>783</v>
      </c>
      <c r="B114" s="2" t="s">
        <v>616</v>
      </c>
      <c r="C114" s="2" t="s">
        <v>779</v>
      </c>
      <c r="D114" s="2" t="s">
        <v>784</v>
      </c>
      <c r="E114" s="2" t="s">
        <v>785</v>
      </c>
      <c r="F114" s="2" t="s">
        <v>234</v>
      </c>
      <c r="G114" s="2" t="s">
        <v>13</v>
      </c>
      <c r="H114" s="2" t="s">
        <v>90</v>
      </c>
      <c r="I114" s="2" t="s">
        <v>619</v>
      </c>
      <c r="J114" s="2" t="s">
        <v>782</v>
      </c>
      <c r="K114" s="3">
        <v>46292</v>
      </c>
      <c r="L114" s="2" t="s">
        <v>625</v>
      </c>
    </row>
    <row r="115" spans="1:12" ht="45" customHeight="1">
      <c r="A115" s="2" t="s">
        <v>786</v>
      </c>
      <c r="B115" s="2" t="s">
        <v>616</v>
      </c>
      <c r="C115" s="2" t="s">
        <v>787</v>
      </c>
      <c r="D115" s="2" t="s">
        <v>788</v>
      </c>
      <c r="E115" s="2" t="s">
        <v>789</v>
      </c>
      <c r="F115" s="2" t="s">
        <v>234</v>
      </c>
      <c r="G115" s="2" t="s">
        <v>13</v>
      </c>
      <c r="H115" s="2" t="s">
        <v>434</v>
      </c>
      <c r="I115" s="2" t="s">
        <v>650</v>
      </c>
      <c r="J115" s="2" t="s">
        <v>790</v>
      </c>
      <c r="K115" s="3">
        <v>46293</v>
      </c>
      <c r="L115" s="2" t="s">
        <v>791</v>
      </c>
    </row>
    <row r="116" spans="1:12" ht="45" customHeight="1">
      <c r="A116" s="2" t="s">
        <v>792</v>
      </c>
      <c r="B116" s="2" t="s">
        <v>616</v>
      </c>
      <c r="C116" s="2" t="s">
        <v>793</v>
      </c>
      <c r="D116" s="2" t="s">
        <v>794</v>
      </c>
      <c r="E116" s="2" t="s">
        <v>795</v>
      </c>
      <c r="F116" s="2" t="s">
        <v>140</v>
      </c>
      <c r="G116" s="2" t="s">
        <v>105</v>
      </c>
      <c r="H116" s="2" t="s">
        <v>90</v>
      </c>
      <c r="I116" s="2" t="s">
        <v>662</v>
      </c>
      <c r="J116" s="2" t="s">
        <v>796</v>
      </c>
      <c r="K116" s="3">
        <v>46294</v>
      </c>
      <c r="L116" s="2" t="s">
        <v>664</v>
      </c>
    </row>
    <row r="117" spans="1:12" ht="45" customHeight="1">
      <c r="A117" s="2" t="s">
        <v>797</v>
      </c>
      <c r="B117" s="2" t="s">
        <v>616</v>
      </c>
      <c r="C117" s="2" t="s">
        <v>253</v>
      </c>
      <c r="D117" s="2" t="s">
        <v>798</v>
      </c>
      <c r="E117" s="2" t="s">
        <v>799</v>
      </c>
      <c r="F117" s="2" t="s">
        <v>252</v>
      </c>
      <c r="G117" s="2" t="s">
        <v>76</v>
      </c>
      <c r="H117" s="2" t="s">
        <v>90</v>
      </c>
      <c r="I117" s="2" t="s">
        <v>650</v>
      </c>
      <c r="J117" s="2" t="s">
        <v>800</v>
      </c>
      <c r="K117" s="3">
        <v>46295</v>
      </c>
      <c r="L117" s="2" t="s">
        <v>801</v>
      </c>
    </row>
    <row r="118" spans="1:12" ht="45" customHeight="1">
      <c r="A118" s="2" t="s">
        <v>802</v>
      </c>
      <c r="B118" s="2" t="s">
        <v>616</v>
      </c>
      <c r="C118" s="2" t="s">
        <v>253</v>
      </c>
      <c r="D118" s="2" t="s">
        <v>803</v>
      </c>
      <c r="E118" s="2" t="s">
        <v>804</v>
      </c>
      <c r="F118" s="2" t="s">
        <v>252</v>
      </c>
      <c r="G118" s="2" t="s">
        <v>13</v>
      </c>
      <c r="H118" s="2" t="s">
        <v>90</v>
      </c>
      <c r="I118" s="2" t="s">
        <v>650</v>
      </c>
      <c r="J118" s="2" t="s">
        <v>800</v>
      </c>
      <c r="K118" s="3">
        <v>46296</v>
      </c>
      <c r="L118" s="2" t="s">
        <v>805</v>
      </c>
    </row>
    <row r="119" spans="1:12" ht="45" customHeight="1">
      <c r="A119" s="2" t="s">
        <v>806</v>
      </c>
      <c r="B119" s="2" t="s">
        <v>616</v>
      </c>
      <c r="C119" s="2" t="s">
        <v>260</v>
      </c>
      <c r="D119" s="2" t="s">
        <v>807</v>
      </c>
      <c r="E119" s="2" t="s">
        <v>808</v>
      </c>
      <c r="F119" s="2" t="s">
        <v>259</v>
      </c>
      <c r="G119" s="2" t="s">
        <v>76</v>
      </c>
      <c r="H119" s="2" t="s">
        <v>90</v>
      </c>
      <c r="I119" s="2" t="s">
        <v>650</v>
      </c>
      <c r="J119" s="2" t="s">
        <v>809</v>
      </c>
      <c r="K119" s="3">
        <v>46291</v>
      </c>
      <c r="L119" s="2" t="s">
        <v>810</v>
      </c>
    </row>
    <row r="120" spans="1:12" ht="45" customHeight="1">
      <c r="A120" s="2" t="s">
        <v>811</v>
      </c>
      <c r="B120" s="2" t="s">
        <v>616</v>
      </c>
      <c r="C120" s="2" t="s">
        <v>267</v>
      </c>
      <c r="D120" s="2" t="s">
        <v>812</v>
      </c>
      <c r="E120" s="2" t="s">
        <v>813</v>
      </c>
      <c r="F120" s="2" t="s">
        <v>266</v>
      </c>
      <c r="G120" s="2" t="s">
        <v>105</v>
      </c>
      <c r="H120" s="2" t="s">
        <v>434</v>
      </c>
      <c r="I120" s="2" t="s">
        <v>619</v>
      </c>
      <c r="J120" s="2" t="s">
        <v>814</v>
      </c>
      <c r="K120" s="3">
        <v>46292</v>
      </c>
      <c r="L120" s="2" t="s">
        <v>625</v>
      </c>
    </row>
    <row r="121" spans="1:12" ht="45" customHeight="1">
      <c r="A121" s="2" t="s">
        <v>815</v>
      </c>
      <c r="B121" s="2" t="s">
        <v>616</v>
      </c>
      <c r="C121" s="2" t="s">
        <v>274</v>
      </c>
      <c r="D121" s="2" t="s">
        <v>816</v>
      </c>
      <c r="E121" s="2" t="s">
        <v>817</v>
      </c>
      <c r="F121" s="2" t="s">
        <v>273</v>
      </c>
      <c r="G121" s="2" t="s">
        <v>76</v>
      </c>
      <c r="H121" s="2" t="s">
        <v>90</v>
      </c>
      <c r="I121" s="2" t="s">
        <v>619</v>
      </c>
      <c r="J121" s="2" t="s">
        <v>818</v>
      </c>
      <c r="K121" s="3">
        <v>46293</v>
      </c>
      <c r="L121" s="2" t="s">
        <v>819</v>
      </c>
    </row>
    <row r="122" spans="1:12" ht="45" customHeight="1">
      <c r="A122" s="2" t="s">
        <v>820</v>
      </c>
      <c r="B122" s="2" t="s">
        <v>616</v>
      </c>
      <c r="C122" s="2" t="s">
        <v>281</v>
      </c>
      <c r="D122" s="2" t="s">
        <v>821</v>
      </c>
      <c r="E122" s="2" t="s">
        <v>822</v>
      </c>
      <c r="F122" s="2" t="s">
        <v>280</v>
      </c>
      <c r="G122" s="2" t="s">
        <v>13</v>
      </c>
      <c r="H122" s="2" t="s">
        <v>90</v>
      </c>
      <c r="I122" s="2" t="s">
        <v>619</v>
      </c>
      <c r="J122" s="2" t="s">
        <v>823</v>
      </c>
      <c r="K122" s="3">
        <v>46294</v>
      </c>
      <c r="L122" s="2" t="s">
        <v>625</v>
      </c>
    </row>
    <row r="123" spans="1:12" ht="45" customHeight="1">
      <c r="A123" s="2" t="s">
        <v>824</v>
      </c>
      <c r="B123" s="2" t="s">
        <v>616</v>
      </c>
      <c r="C123" s="2" t="s">
        <v>288</v>
      </c>
      <c r="D123" s="2" t="s">
        <v>825</v>
      </c>
      <c r="E123" s="2" t="s">
        <v>826</v>
      </c>
      <c r="F123" s="2" t="s">
        <v>287</v>
      </c>
      <c r="G123" s="2" t="s">
        <v>105</v>
      </c>
      <c r="H123" s="2" t="s">
        <v>90</v>
      </c>
      <c r="I123" s="2" t="s">
        <v>650</v>
      </c>
      <c r="J123" s="2" t="s">
        <v>827</v>
      </c>
      <c r="K123" s="3">
        <v>46295</v>
      </c>
      <c r="L123" s="2" t="s">
        <v>828</v>
      </c>
    </row>
    <row r="124" spans="1:12" ht="45" customHeight="1">
      <c r="A124" s="2" t="s">
        <v>829</v>
      </c>
      <c r="B124" s="2" t="s">
        <v>616</v>
      </c>
      <c r="C124" s="2" t="s">
        <v>288</v>
      </c>
      <c r="D124" s="2" t="s">
        <v>830</v>
      </c>
      <c r="E124" s="2" t="s">
        <v>831</v>
      </c>
      <c r="F124" s="2" t="s">
        <v>287</v>
      </c>
      <c r="G124" s="2" t="s">
        <v>18</v>
      </c>
      <c r="H124" s="2" t="s">
        <v>434</v>
      </c>
      <c r="I124" s="2" t="s">
        <v>662</v>
      </c>
      <c r="J124" s="2" t="s">
        <v>827</v>
      </c>
      <c r="K124" s="3">
        <v>46296</v>
      </c>
      <c r="L124" s="2" t="s">
        <v>664</v>
      </c>
    </row>
    <row r="125" spans="1:12" ht="39.6">
      <c r="A125" s="2" t="s">
        <v>832</v>
      </c>
      <c r="B125" s="2" t="s">
        <v>833</v>
      </c>
      <c r="C125" s="2" t="s">
        <v>301</v>
      </c>
      <c r="D125" s="2" t="s">
        <v>302</v>
      </c>
      <c r="E125" s="2" t="s">
        <v>303</v>
      </c>
      <c r="F125" s="2" t="s">
        <v>300</v>
      </c>
      <c r="G125" s="2" t="s">
        <v>97</v>
      </c>
      <c r="H125" s="2" t="s">
        <v>77</v>
      </c>
      <c r="I125" s="2" t="s">
        <v>20</v>
      </c>
      <c r="J125" s="2" t="s">
        <v>870</v>
      </c>
      <c r="K125" s="3"/>
      <c r="L125" s="2" t="s">
        <v>871</v>
      </c>
    </row>
    <row r="126" spans="1:12" ht="39.6">
      <c r="A126" s="2" t="s">
        <v>834</v>
      </c>
      <c r="B126" s="2" t="s">
        <v>833</v>
      </c>
      <c r="C126" s="2" t="s">
        <v>301</v>
      </c>
      <c r="D126" s="2" t="s">
        <v>307</v>
      </c>
      <c r="E126" s="2" t="s">
        <v>308</v>
      </c>
      <c r="F126" s="2" t="s">
        <v>306</v>
      </c>
      <c r="G126" s="2" t="s">
        <v>97</v>
      </c>
      <c r="H126" s="2" t="s">
        <v>77</v>
      </c>
      <c r="I126" s="2" t="s">
        <v>20</v>
      </c>
      <c r="J126" s="2" t="s">
        <v>872</v>
      </c>
      <c r="K126" s="3"/>
      <c r="L126" s="2" t="s">
        <v>873</v>
      </c>
    </row>
    <row r="127" spans="1:12" ht="39.6">
      <c r="A127" s="2" t="s">
        <v>835</v>
      </c>
      <c r="B127" s="2" t="s">
        <v>833</v>
      </c>
      <c r="C127" s="2" t="s">
        <v>310</v>
      </c>
      <c r="D127" s="2" t="s">
        <v>311</v>
      </c>
      <c r="E127" s="2" t="s">
        <v>312</v>
      </c>
      <c r="F127" s="2" t="s">
        <v>309</v>
      </c>
      <c r="G127" s="2" t="s">
        <v>97</v>
      </c>
      <c r="H127" s="2" t="s">
        <v>90</v>
      </c>
      <c r="I127" s="2" t="s">
        <v>20</v>
      </c>
      <c r="J127" s="2" t="s">
        <v>874</v>
      </c>
      <c r="K127" s="3"/>
      <c r="L127" s="2" t="s">
        <v>875</v>
      </c>
    </row>
    <row r="128" spans="1:12" ht="39.6">
      <c r="A128" s="2" t="s">
        <v>836</v>
      </c>
      <c r="B128" s="2" t="s">
        <v>833</v>
      </c>
      <c r="C128" s="2" t="s">
        <v>314</v>
      </c>
      <c r="D128" s="2" t="s">
        <v>315</v>
      </c>
      <c r="E128" s="2" t="s">
        <v>316</v>
      </c>
      <c r="F128" s="2" t="s">
        <v>313</v>
      </c>
      <c r="G128" s="2" t="s">
        <v>105</v>
      </c>
      <c r="H128" s="2" t="s">
        <v>77</v>
      </c>
      <c r="I128" s="2" t="s">
        <v>20</v>
      </c>
      <c r="J128" s="2" t="s">
        <v>876</v>
      </c>
      <c r="K128" s="3"/>
      <c r="L128" s="2" t="s">
        <v>877</v>
      </c>
    </row>
    <row r="129" spans="1:12" ht="52.8">
      <c r="A129" s="2" t="s">
        <v>837</v>
      </c>
      <c r="B129" s="2" t="s">
        <v>833</v>
      </c>
      <c r="C129" s="2" t="s">
        <v>318</v>
      </c>
      <c r="D129" s="2" t="s">
        <v>319</v>
      </c>
      <c r="E129" s="2" t="s">
        <v>320</v>
      </c>
      <c r="F129" s="2" t="s">
        <v>317</v>
      </c>
      <c r="G129" s="2" t="s">
        <v>97</v>
      </c>
      <c r="H129" s="2" t="s">
        <v>90</v>
      </c>
      <c r="I129" s="2" t="s">
        <v>20</v>
      </c>
      <c r="J129" s="2" t="s">
        <v>878</v>
      </c>
      <c r="K129" s="3"/>
      <c r="L129" s="2" t="s">
        <v>879</v>
      </c>
    </row>
    <row r="130" spans="1:12" ht="39.6">
      <c r="A130" s="2" t="s">
        <v>838</v>
      </c>
      <c r="B130" s="2" t="s">
        <v>833</v>
      </c>
      <c r="C130" s="2" t="s">
        <v>322</v>
      </c>
      <c r="D130" s="2" t="s">
        <v>323</v>
      </c>
      <c r="E130" s="2" t="s">
        <v>324</v>
      </c>
      <c r="F130" s="2" t="s">
        <v>321</v>
      </c>
      <c r="G130" s="2" t="s">
        <v>105</v>
      </c>
      <c r="H130" s="2" t="s">
        <v>77</v>
      </c>
      <c r="I130" s="2" t="s">
        <v>20</v>
      </c>
      <c r="J130" s="2" t="s">
        <v>880</v>
      </c>
      <c r="K130" s="3"/>
      <c r="L130" s="2" t="s">
        <v>881</v>
      </c>
    </row>
    <row r="131" spans="1:12" ht="39.6">
      <c r="A131" s="2" t="s">
        <v>839</v>
      </c>
      <c r="B131" s="2" t="s">
        <v>833</v>
      </c>
      <c r="C131" s="2" t="s">
        <v>326</v>
      </c>
      <c r="D131" s="2" t="s">
        <v>327</v>
      </c>
      <c r="E131" s="2" t="s">
        <v>328</v>
      </c>
      <c r="F131" s="2" t="s">
        <v>325</v>
      </c>
      <c r="G131" s="2" t="s">
        <v>89</v>
      </c>
      <c r="H131" s="2" t="s">
        <v>90</v>
      </c>
      <c r="I131" s="2" t="s">
        <v>20</v>
      </c>
      <c r="J131" s="2" t="s">
        <v>882</v>
      </c>
      <c r="K131" s="3"/>
      <c r="L131" s="2" t="s">
        <v>883</v>
      </c>
    </row>
    <row r="132" spans="1:12" ht="39.6">
      <c r="A132" s="2" t="s">
        <v>840</v>
      </c>
      <c r="B132" s="2" t="s">
        <v>833</v>
      </c>
      <c r="C132" s="2" t="s">
        <v>330</v>
      </c>
      <c r="D132" s="2" t="s">
        <v>331</v>
      </c>
      <c r="E132" s="2" t="s">
        <v>332</v>
      </c>
      <c r="F132" s="2" t="s">
        <v>329</v>
      </c>
      <c r="G132" s="2" t="s">
        <v>97</v>
      </c>
      <c r="H132" s="2" t="s">
        <v>77</v>
      </c>
      <c r="I132" s="2" t="s">
        <v>20</v>
      </c>
      <c r="J132" s="2" t="s">
        <v>884</v>
      </c>
      <c r="K132" s="3"/>
      <c r="L132" s="2" t="s">
        <v>885</v>
      </c>
    </row>
    <row r="133" spans="1:12" ht="52.8">
      <c r="A133" s="2" t="s">
        <v>841</v>
      </c>
      <c r="B133" s="2" t="s">
        <v>833</v>
      </c>
      <c r="C133" s="2" t="s">
        <v>147</v>
      </c>
      <c r="D133" s="2" t="s">
        <v>334</v>
      </c>
      <c r="E133" s="2" t="s">
        <v>335</v>
      </c>
      <c r="F133" s="2" t="s">
        <v>333</v>
      </c>
      <c r="G133" s="2" t="s">
        <v>18</v>
      </c>
      <c r="H133" s="2" t="s">
        <v>90</v>
      </c>
      <c r="I133" s="2" t="s">
        <v>20</v>
      </c>
      <c r="J133" s="2" t="s">
        <v>886</v>
      </c>
      <c r="K133" s="3"/>
      <c r="L133" s="2" t="s">
        <v>887</v>
      </c>
    </row>
    <row r="134" spans="1:12" ht="52.8">
      <c r="A134" s="2" t="s">
        <v>842</v>
      </c>
      <c r="B134" s="2" t="s">
        <v>833</v>
      </c>
      <c r="C134" s="2" t="s">
        <v>154</v>
      </c>
      <c r="D134" s="2" t="s">
        <v>338</v>
      </c>
      <c r="E134" s="2" t="s">
        <v>339</v>
      </c>
      <c r="F134" s="2" t="s">
        <v>337</v>
      </c>
      <c r="G134" s="2" t="s">
        <v>89</v>
      </c>
      <c r="H134" s="2" t="s">
        <v>90</v>
      </c>
      <c r="I134" s="2" t="s">
        <v>20</v>
      </c>
      <c r="J134" s="2" t="s">
        <v>888</v>
      </c>
      <c r="K134" s="3"/>
      <c r="L134" s="2" t="s">
        <v>889</v>
      </c>
    </row>
  </sheetData>
  <mergeCells count="2">
    <mergeCell ref="A2:L2"/>
    <mergeCell ref="A3:L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'Matriz de evidencias'!$A$10:$A$52</xm:f>
          </x14:formula1>
          <xm:sqref>F7:F134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workbookViewId="0"/>
  </sheetViews>
  <sheetFormatPr baseColWidth="10" defaultColWidth="8.796875" defaultRowHeight="13.8"/>
  <cols>
    <col min="1" max="1" width="18" customWidth="1"/>
    <col min="2" max="2" width="16" customWidth="1"/>
    <col min="3" max="3" width="30" customWidth="1"/>
    <col min="4" max="4" width="13" customWidth="1"/>
    <col min="5" max="5" width="28" customWidth="1"/>
  </cols>
  <sheetData>
    <row r="1" spans="1:5">
      <c r="A1" s="1" t="s">
        <v>843</v>
      </c>
      <c r="B1" s="1" t="s">
        <v>3</v>
      </c>
      <c r="C1" s="1" t="s">
        <v>60</v>
      </c>
      <c r="D1" s="1" t="s">
        <v>63</v>
      </c>
      <c r="E1" s="1" t="s">
        <v>61</v>
      </c>
    </row>
    <row r="2" spans="1:5">
      <c r="A2" s="2" t="s">
        <v>20</v>
      </c>
      <c r="B2" s="2" t="s">
        <v>79</v>
      </c>
      <c r="C2" s="2" t="s">
        <v>75</v>
      </c>
      <c r="D2" s="2" t="s">
        <v>77</v>
      </c>
      <c r="E2" s="2" t="s">
        <v>13</v>
      </c>
    </row>
    <row r="3" spans="1:5">
      <c r="A3" s="2" t="s">
        <v>17</v>
      </c>
      <c r="B3" s="2" t="s">
        <v>113</v>
      </c>
      <c r="C3" s="2" t="s">
        <v>88</v>
      </c>
      <c r="D3" s="2" t="s">
        <v>90</v>
      </c>
      <c r="E3" s="2" t="s">
        <v>76</v>
      </c>
    </row>
    <row r="4" spans="1:5">
      <c r="A4" s="2" t="s">
        <v>12</v>
      </c>
      <c r="B4" s="2" t="s">
        <v>844</v>
      </c>
      <c r="C4" s="2" t="s">
        <v>111</v>
      </c>
      <c r="D4" s="2" t="s">
        <v>434</v>
      </c>
      <c r="E4" s="2" t="s">
        <v>105</v>
      </c>
    </row>
    <row r="5" spans="1:5">
      <c r="A5" s="2" t="s">
        <v>304</v>
      </c>
      <c r="B5" s="2" t="s">
        <v>304</v>
      </c>
      <c r="C5" s="2" t="s">
        <v>131</v>
      </c>
      <c r="D5" s="2" t="s">
        <v>845</v>
      </c>
      <c r="E5" s="2" t="s">
        <v>89</v>
      </c>
    </row>
    <row r="6" spans="1:5">
      <c r="A6" s="2"/>
      <c r="B6" s="2"/>
      <c r="C6" s="2" t="s">
        <v>137</v>
      </c>
      <c r="D6" s="2"/>
      <c r="E6" s="2" t="s">
        <v>97</v>
      </c>
    </row>
    <row r="7" spans="1:5">
      <c r="A7" s="2"/>
      <c r="B7" s="2"/>
      <c r="C7" s="2" t="s">
        <v>157</v>
      </c>
      <c r="D7" s="2"/>
      <c r="E7" s="2" t="s">
        <v>18</v>
      </c>
    </row>
    <row r="8" spans="1:5">
      <c r="A8" s="2"/>
      <c r="B8" s="2"/>
      <c r="C8" s="2" t="s">
        <v>190</v>
      </c>
      <c r="D8" s="2"/>
      <c r="E8" s="2"/>
    </row>
    <row r="9" spans="1:5">
      <c r="A9" s="2"/>
      <c r="B9" s="2"/>
      <c r="C9" s="2" t="s">
        <v>244</v>
      </c>
      <c r="D9" s="2"/>
      <c r="E9" s="2"/>
    </row>
    <row r="10" spans="1:5">
      <c r="A10" s="2"/>
      <c r="B10" s="2"/>
      <c r="C10" s="2" t="s">
        <v>291</v>
      </c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Matriz de evidencias</vt:lpstr>
      <vt:lpstr>Trazabilidad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Mendoza</cp:lastModifiedBy>
  <dcterms:modified xsi:type="dcterms:W3CDTF">2026-10-01T22:37:02Z</dcterms:modified>
</cp:coreProperties>
</file>