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lexMendoza\Downloads\"/>
    </mc:Choice>
  </mc:AlternateContent>
  <xr:revisionPtr revIDLastSave="0" documentId="13_ncr:1_{DA612205-D9A9-4AC4-9597-EAF72E27A5AB}" xr6:coauthVersionLast="47" xr6:coauthVersionMax="47" xr10:uidLastSave="{00000000-0000-0000-0000-000000000000}"/>
  <bookViews>
    <workbookView xWindow="-108" yWindow="-108" windowWidth="23256" windowHeight="13896" tabRatio="429" xr2:uid="{00000000-000D-0000-FFFF-FFFF00000000}"/>
  </bookViews>
  <sheets>
    <sheet name="Resumen" sheetId="1" r:id="rId1"/>
    <sheet name="Pruebas realizadas" sheetId="2" r:id="rId2"/>
    <sheet name="Defectos y revalidación" sheetId="3" r:id="rId3"/>
    <sheet name="Catálogos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2" l="1"/>
  <c r="F6" i="2"/>
  <c r="H6" i="2" s="1"/>
  <c r="E6" i="2"/>
  <c r="D6" i="2"/>
  <c r="C6" i="2"/>
  <c r="B6" i="2"/>
  <c r="A6" i="2"/>
  <c r="J12" i="1"/>
  <c r="I12" i="1"/>
  <c r="H12" i="1"/>
  <c r="G12" i="1"/>
  <c r="J11" i="1"/>
  <c r="I11" i="1"/>
  <c r="H11" i="1"/>
  <c r="G11" i="1"/>
  <c r="C11" i="1"/>
  <c r="J10" i="1"/>
  <c r="I10" i="1"/>
  <c r="H10" i="1"/>
  <c r="G10" i="1"/>
  <c r="C10" i="1"/>
  <c r="J9" i="1"/>
  <c r="I9" i="1"/>
  <c r="H9" i="1"/>
  <c r="G9" i="1"/>
  <c r="C9" i="1"/>
  <c r="C13" i="1" s="1"/>
  <c r="J8" i="1"/>
  <c r="I8" i="1"/>
  <c r="H8" i="1"/>
  <c r="G8" i="1"/>
  <c r="C8" i="1"/>
  <c r="J7" i="1"/>
  <c r="I7" i="1"/>
  <c r="H7" i="1"/>
  <c r="G7" i="1"/>
  <c r="C7" i="1"/>
  <c r="C12" i="1" s="1"/>
  <c r="J6" i="1"/>
  <c r="I6" i="1"/>
  <c r="H6" i="1"/>
  <c r="G6" i="1"/>
  <c r="C6" i="1"/>
</calcChain>
</file>

<file path=xl/sharedStrings.xml><?xml version="1.0" encoding="utf-8"?>
<sst xmlns="http://schemas.openxmlformats.org/spreadsheetml/2006/main" count="1374" uniqueCount="667">
  <si>
    <t>BARRIO SOLIDARIO · Matriz de pruebas realizadas</t>
  </si>
  <si>
    <t>Resultados consolidados del MVP al 01/10/2026. Los casos sin evidencia verificable permanecen pendientes y no se contabilizan como aprobados.</t>
  </si>
  <si>
    <t>Indicador</t>
  </si>
  <si>
    <t>Resultado</t>
  </si>
  <si>
    <t>Interpretación</t>
  </si>
  <si>
    <t>Tipo</t>
  </si>
  <si>
    <t>Ejecutadas</t>
  </si>
  <si>
    <t>Cumple</t>
  </si>
  <si>
    <t>Parcial</t>
  </si>
  <si>
    <t>Pendiente</t>
  </si>
  <si>
    <t>Total de casos</t>
  </si>
  <si>
    <t>Casos registrados</t>
  </si>
  <si>
    <t>Funcional positiva</t>
  </si>
  <si>
    <t>Casos ejecutados</t>
  </si>
  <si>
    <t>Cuentan con resultado obtenido</t>
  </si>
  <si>
    <t>Funcional negativa</t>
  </si>
  <si>
    <t>Pendientes</t>
  </si>
  <si>
    <t>Aún requieren ejecución y evidencia</t>
  </si>
  <si>
    <t>Seguridad</t>
  </si>
  <si>
    <t>Cumplen</t>
  </si>
  <si>
    <t>Resultado esperado alcanzado</t>
  </si>
  <si>
    <t>Accesibilidad</t>
  </si>
  <si>
    <t>Cumplen parcialmente</t>
  </si>
  <si>
    <t>Requieren ajuste o revalidación</t>
  </si>
  <si>
    <t>Compatibilidad</t>
  </si>
  <si>
    <t>No cumplen</t>
  </si>
  <si>
    <t>Resultado no aceptable</t>
  </si>
  <si>
    <t>Rendimiento</t>
  </si>
  <si>
    <t>Porcentaje ejecutado</t>
  </si>
  <si>
    <t>Cobertura de ejecución</t>
  </si>
  <si>
    <t>Integración</t>
  </si>
  <si>
    <t>Porcentaje de conformidad</t>
  </si>
  <si>
    <t>Cumplimiento ponderado sobre ejecutados</t>
  </si>
  <si>
    <t>Criterios de interpretación</t>
  </si>
  <si>
    <t>1.</t>
  </si>
  <si>
    <t>Cumple: el resultado obtenido coincide con el resultado esperado y existe una evidencia asociada.</t>
  </si>
  <si>
    <t>2.</t>
  </si>
  <si>
    <t>Cumple parcialmente: el flujo funciona, pero requiere completar cobertura, corregir un hallazgo o ejecutar revalidación.</t>
  </si>
  <si>
    <t>3.</t>
  </si>
  <si>
    <t>Pendiente: el caso se encuentra definido, pero no existe una ejecución verificable; no debe presentarse como aprobado.</t>
  </si>
  <si>
    <t>4.</t>
  </si>
  <si>
    <t>Los datos utilizados deben ser ficticios y las capturas no deben mostrar contraseñas, tokens, archivos .env ni información personal real.</t>
  </si>
  <si>
    <t>Jira</t>
  </si>
  <si>
    <t>https://uees-team-kgpqd887.atlassian.net/jira/software/projects/SCRUM/summary</t>
  </si>
  <si>
    <t>GitHub</t>
  </si>
  <si>
    <t>https://github.com/UESSalexmendoza/Proyecto-Ingenieria-II/tree/main</t>
  </si>
  <si>
    <t>Registro de pruebas ejecutadas y pendientes del MVP</t>
  </si>
  <si>
    <t>Un registro por caso. Los estados, resultados y responsables se pueden actualizar mediante listas vinculadas a Catálogos.</t>
  </si>
  <si>
    <t>Total</t>
  </si>
  <si>
    <t>No cumple</t>
  </si>
  <si>
    <t>Defectos abiertos</t>
  </si>
  <si>
    <t>Estado general</t>
  </si>
  <si>
    <t>Código</t>
  </si>
  <si>
    <t>Módulo</t>
  </si>
  <si>
    <t>Tipo de prueba</t>
  </si>
  <si>
    <t>Escenario</t>
  </si>
  <si>
    <t>Precondición</t>
  </si>
  <si>
    <t>Datos de prueba</t>
  </si>
  <si>
    <t>Pasos principales</t>
  </si>
  <si>
    <t>Resultado esperado</t>
  </si>
  <si>
    <t>Resultado obtenido</t>
  </si>
  <si>
    <t>Estado ejecución</t>
  </si>
  <si>
    <t>Prioridad</t>
  </si>
  <si>
    <t>Responsable</t>
  </si>
  <si>
    <t>Fecha ejecución</t>
  </si>
  <si>
    <t>Evidencia</t>
  </si>
  <si>
    <t>Riesgo relacionado</t>
  </si>
  <si>
    <t>Defecto</t>
  </si>
  <si>
    <t>Revalidación</t>
  </si>
  <si>
    <t>Observación</t>
  </si>
  <si>
    <t>PR-001</t>
  </si>
  <si>
    <t>Portal público</t>
  </si>
  <si>
    <t>Carga de página principal</t>
  </si>
  <si>
    <t>Servidor local iniciado</t>
  </si>
  <si>
    <t>URL principal</t>
  </si>
  <si>
    <t>Abrir el portal y revisar las secciones visibles.</t>
  </si>
  <si>
    <t>Mostrar propósito, funcionamiento, beneficios y contacto.</t>
  </si>
  <si>
    <t>El portal cargó y presentó el contenido previsto.</t>
  </si>
  <si>
    <t>Ejecutada</t>
  </si>
  <si>
    <t>High</t>
  </si>
  <si>
    <t>Víctor Tello Bravo</t>
  </si>
  <si>
    <t>EV-002</t>
  </si>
  <si>
    <t>Demostración poco clara</t>
  </si>
  <si>
    <t>No requerida</t>
  </si>
  <si>
    <t>PR-002</t>
  </si>
  <si>
    <t>Navegación a Términos y condiciones</t>
  </si>
  <si>
    <t>Portal disponible</t>
  </si>
  <si>
    <t>Enlace Legal</t>
  </si>
  <si>
    <t>Seleccionar Términos desde el menú.</t>
  </si>
  <si>
    <t>Abrir la página correcta sin error.</t>
  </si>
  <si>
    <t>La página se abrió correctamente.</t>
  </si>
  <si>
    <t>Mario Luzardo Fierro</t>
  </si>
  <si>
    <t>Límites ambiguos del MVP</t>
  </si>
  <si>
    <t>PR-003</t>
  </si>
  <si>
    <t>Navegación a Privacidad</t>
  </si>
  <si>
    <t>Enlace Privacidad</t>
  </si>
  <si>
    <t>Seleccionar Privacidad desde el menú.</t>
  </si>
  <si>
    <t>Abrir la política de privacidad.</t>
  </si>
  <si>
    <t>El enlace dirigió al contenido esperado.</t>
  </si>
  <si>
    <t>Recolección excesiva de datos</t>
  </si>
  <si>
    <t>PR-004</t>
  </si>
  <si>
    <t>Enlaces de contacto e información</t>
  </si>
  <si>
    <t>Enlaces principales</t>
  </si>
  <si>
    <t>Recorrer los enlaces del encabezado y pie.</t>
  </si>
  <si>
    <t>Todos los enlaces deben responder.</t>
  </si>
  <si>
    <t>No se encontraron enlaces bloqueantes.</t>
  </si>
  <si>
    <t>Low</t>
  </si>
  <si>
    <t>PR-005</t>
  </si>
  <si>
    <t>Interfaz</t>
  </si>
  <si>
    <t>Consistencia de encabezado y pie</t>
  </si>
  <si>
    <t>Varias páginas públicas disponibles</t>
  </si>
  <si>
    <t>Páginas públicas</t>
  </si>
  <si>
    <t>Comparar logo, navegación, tamaños y pie.</t>
  </si>
  <si>
    <t>Mantener estructura visual uniforme.</t>
  </si>
  <si>
    <t>Los componentes comunes conservaron el mismo diseño.</t>
  </si>
  <si>
    <t>EV-016</t>
  </si>
  <si>
    <t>Encabezado inconsistente</t>
  </si>
  <si>
    <t>PR-006</t>
  </si>
  <si>
    <t>Registro</t>
  </si>
  <si>
    <t>Registro con datos válidos</t>
  </si>
  <si>
    <t>Correo no registrado</t>
  </si>
  <si>
    <t>Nombre, correo, teléfono y clave válidos</t>
  </si>
  <si>
    <t>Completar el formulario, aceptar políticas y enviar.</t>
  </si>
  <si>
    <t>Crear cuenta pendiente y enviar activación.</t>
  </si>
  <si>
    <t>La cuenta fue almacenada en estado pendiente.</t>
  </si>
  <si>
    <t>Highest</t>
  </si>
  <si>
    <t>Luis Ramírez Conejo</t>
  </si>
  <si>
    <t>EV-003</t>
  </si>
  <si>
    <t>Falla en el registro de usuarios</t>
  </si>
  <si>
    <t>PR-007</t>
  </si>
  <si>
    <t>Campos obligatorios vacíos</t>
  </si>
  <si>
    <t>Formulario abierto</t>
  </si>
  <si>
    <t>Campos vacíos</t>
  </si>
  <si>
    <t>Enviar el formulario sin completar datos.</t>
  </si>
  <si>
    <t>Rechazar y señalar los campos requeridos.</t>
  </si>
  <si>
    <t>Se mostraron mensajes junto a los campos obligatorios.</t>
  </si>
  <si>
    <t>Luis Rodríguez Barrera</t>
  </si>
  <si>
    <t>PR-008</t>
  </si>
  <si>
    <t>Correo con formato inválido</t>
  </si>
  <si>
    <t>usuario@</t>
  </si>
  <si>
    <t>Completar el resto y enviar.</t>
  </si>
  <si>
    <t>Rechazar el correo y conservar los datos permitidos.</t>
  </si>
  <si>
    <t>El sistema rechazó el formato inválido.</t>
  </si>
  <si>
    <t>Inyección o manipulación de entradas</t>
  </si>
  <si>
    <t>PR-009</t>
  </si>
  <si>
    <t>Validación</t>
  </si>
  <si>
    <t>Nombres admiten solo caracteres permitidos</t>
  </si>
  <si>
    <t>Nombre con números y símbolos</t>
  </si>
  <si>
    <t>Enviar datos inválidos.</t>
  </si>
  <si>
    <t>Rechazar caracteres no permitidos.</t>
  </si>
  <si>
    <t>El campo presentó validación controlada.</t>
  </si>
  <si>
    <t>PR-010</t>
  </si>
  <si>
    <t>Teléfono admite solo números</t>
  </si>
  <si>
    <t>Teléfono con letras</t>
  </si>
  <si>
    <t>Enviar formulario.</t>
  </si>
  <si>
    <t>Rechazar caracteres no numéricos.</t>
  </si>
  <si>
    <t>El dato inválido no fue aceptado.</t>
  </si>
  <si>
    <t>PR-011</t>
  </si>
  <si>
    <t>Correo duplicado</t>
  </si>
  <si>
    <t>Existe una cuenta previa</t>
  </si>
  <si>
    <t>Correo previamente registrado</t>
  </si>
  <si>
    <t>Intentar crear otra cuenta con el mismo correo.</t>
  </si>
  <si>
    <t>Rechazar la duplicidad.</t>
  </si>
  <si>
    <t>El sistema informó que el correo ya estaba registrado.</t>
  </si>
  <si>
    <t>EV-017</t>
  </si>
  <si>
    <t>Usuarios duplicados</t>
  </si>
  <si>
    <t>PR-012</t>
  </si>
  <si>
    <t>Longitud máxima de contraseña</t>
  </si>
  <si>
    <t>Clave mayor a 15 caracteres</t>
  </si>
  <si>
    <t>Intentar registrar la cuenta.</t>
  </si>
  <si>
    <t>Aplicar la regla definida y mostrar orientación.</t>
  </si>
  <si>
    <t>La validación impidió guardar una clave fuera de la regla.</t>
  </si>
  <si>
    <t>EV-008</t>
  </si>
  <si>
    <t>Contraseñas almacenadas en texto plano</t>
  </si>
  <si>
    <t>PR-013</t>
  </si>
  <si>
    <t>Seguridad negativa</t>
  </si>
  <si>
    <t>Contraseña débil</t>
  </si>
  <si>
    <t>Clave sin complejidad</t>
  </si>
  <si>
    <t>Enviar el formulario.</t>
  </si>
  <si>
    <t>Rechazar y mostrar los requisitos.</t>
  </si>
  <si>
    <t>Se mostraron requisitos y la cuenta no fue creada.</t>
  </si>
  <si>
    <t>PR-014</t>
  </si>
  <si>
    <t>Activación</t>
  </si>
  <si>
    <t>Cuenta permanece inactiva antes de confirmar</t>
  </si>
  <si>
    <t>Cuenta recién registrada</t>
  </si>
  <si>
    <t>Usuario pendiente</t>
  </si>
  <si>
    <t>Consultar estado e intentar acceder.</t>
  </si>
  <si>
    <t>Mantener usuario inactivo hasta activar.</t>
  </si>
  <si>
    <t>El usuario quedó pendiente y no accedió al panel.</t>
  </si>
  <si>
    <t>EV-041</t>
  </si>
  <si>
    <t>Acceso sin autenticación</t>
  </si>
  <si>
    <t>PR-015</t>
  </si>
  <si>
    <t>Enlace de activación válido</t>
  </si>
  <si>
    <t>Correo de activación disponible</t>
  </si>
  <si>
    <t>Token vigente</t>
  </si>
  <si>
    <t>Abrir el enlace y completar la activación.</t>
  </si>
  <si>
    <t>Activar la cuenta y permitir definir la clave.</t>
  </si>
  <si>
    <t>La cuenta fue habilitada correctamente.</t>
  </si>
  <si>
    <t>Falla en el inicio de sesión</t>
  </si>
  <si>
    <t>PR-016</t>
  </si>
  <si>
    <t>Enlace de activación vencido o inválido</t>
  </si>
  <si>
    <t>Token alterado o vencido</t>
  </si>
  <si>
    <t>Token inválido</t>
  </si>
  <si>
    <t>Abrir el enlace.</t>
  </si>
  <si>
    <t>Rechazar el token y ofrecer reenvío.</t>
  </si>
  <si>
    <t>El sistema mostró un mensaje controlado.</t>
  </si>
  <si>
    <t>Errores revelan información sensible</t>
  </si>
  <si>
    <t>PR-017</t>
  </si>
  <si>
    <t>Reenvío de activación</t>
  </si>
  <si>
    <t>Cuenta pendiente existente</t>
  </si>
  <si>
    <t>Correo registrado</t>
  </si>
  <si>
    <t>Solicitar un nuevo enlace.</t>
  </si>
  <si>
    <t>Generar un enlace nuevo sin duplicar la cuenta.</t>
  </si>
  <si>
    <t>Se generó una nueva notificación de activación.</t>
  </si>
  <si>
    <t>PR-018</t>
  </si>
  <si>
    <t>Acceso</t>
  </si>
  <si>
    <t>Inicio con credenciales válidas</t>
  </si>
  <si>
    <t>Cuenta activa</t>
  </si>
  <si>
    <t>Correo y clave válidos</t>
  </si>
  <si>
    <t>Ingresar credenciales y confirmar.</t>
  </si>
  <si>
    <t>Crear sesión y permitir acceso.</t>
  </si>
  <si>
    <t>El usuario inició sesión y llegó al área autorizada.</t>
  </si>
  <si>
    <t>EV-004</t>
  </si>
  <si>
    <t>PR-019</t>
  </si>
  <si>
    <t>Contraseña incorrecta</t>
  </si>
  <si>
    <t>Clave incorrecta</t>
  </si>
  <si>
    <t>Intentar iniciar sesión.</t>
  </si>
  <si>
    <t>Rechazar sin crear sesión y mostrar mensaje comprensible.</t>
  </si>
  <si>
    <t>El acceso fue rechazado sin mostrar datos internos.</t>
  </si>
  <si>
    <t>PR-020</t>
  </si>
  <si>
    <t>Usuario inexistente</t>
  </si>
  <si>
    <t>No existe la cuenta</t>
  </si>
  <si>
    <t>Rechazar con mensaje general.</t>
  </si>
  <si>
    <t>La respuesta no reveló si existe una cuenta sensible.</t>
  </si>
  <si>
    <t>EV-009</t>
  </si>
  <si>
    <t>PR-021</t>
  </si>
  <si>
    <t>Cuenta pendiente intenta acceder</t>
  </si>
  <si>
    <t>Cuenta no activada</t>
  </si>
  <si>
    <t>Credenciales de usuario pendiente</t>
  </si>
  <si>
    <t>Denegar y explicar que falta habilitación.</t>
  </si>
  <si>
    <t>Se mostró el mensaje de cuenta no habilitada.</t>
  </si>
  <si>
    <t>PR-022</t>
  </si>
  <si>
    <t>Confirmación posterior al login</t>
  </si>
  <si>
    <t>Cuenta activa y correo disponible</t>
  </si>
  <si>
    <t>Enlace de confirmación</t>
  </si>
  <si>
    <t>Iniciar sesión y confirmar desde el correo.</t>
  </si>
  <si>
    <t>Completar la validación adicional antes de la sesión final.</t>
  </si>
  <si>
    <t>La confirmación funcionó en el ambiente configurado.</t>
  </si>
  <si>
    <t>Kevin Carriel Bonoso</t>
  </si>
  <si>
    <t>PR-023</t>
  </si>
  <si>
    <t>Sesión</t>
  </si>
  <si>
    <t>Cierre de sesión</t>
  </si>
  <si>
    <t>Usuario autenticado</t>
  </si>
  <si>
    <t>Acción Cerrar sesión</t>
  </si>
  <si>
    <t>Cerrar y volver al portal.</t>
  </si>
  <si>
    <t>Invalidar la sesión.</t>
  </si>
  <si>
    <t>La sesión terminó y el menú se actualizó.</t>
  </si>
  <si>
    <t>Cierre de sesión incompleto</t>
  </si>
  <si>
    <t>PR-024</t>
  </si>
  <si>
    <t>Acceso directo después de salir</t>
  </si>
  <si>
    <t>Sesión cerrada</t>
  </si>
  <si>
    <t>URL privada</t>
  </si>
  <si>
    <t>Pegar la URL del panel.</t>
  </si>
  <si>
    <t>Redirigir al acceso.</t>
  </si>
  <si>
    <t>La ruta privada no fue mostrada.</t>
  </si>
  <si>
    <t>PR-025</t>
  </si>
  <si>
    <t>Identidad del usuario en encabezado</t>
  </si>
  <si>
    <t>Nombre y avatar</t>
  </si>
  <si>
    <t>Abrir el portal autenticado.</t>
  </si>
  <si>
    <t>Mostrar avatar, nombre y menú de usuario.</t>
  </si>
  <si>
    <t>La identidad y las opciones de sesión fueron visibles.</t>
  </si>
  <si>
    <t>Panel incorrecto según el rol</t>
  </si>
  <si>
    <t>PR-026</t>
  </si>
  <si>
    <t>Recuperación</t>
  </si>
  <si>
    <t>Solicitud con correo registrado</t>
  </si>
  <si>
    <t>Solicitar recuperación.</t>
  </si>
  <si>
    <t>Enviar enlace y mostrar confirmación.</t>
  </si>
  <si>
    <t>La solicitud fue aceptada y se generó la notificación.</t>
  </si>
  <si>
    <t>EV-005</t>
  </si>
  <si>
    <t>Recuperación de contraseña incompleta</t>
  </si>
  <si>
    <t>PR-027</t>
  </si>
  <si>
    <t>Solicitud con correo inexistente</t>
  </si>
  <si>
    <t>Cuenta inexistente</t>
  </si>
  <si>
    <t>Mostrar respuesta general sin revelar existencia.</t>
  </si>
  <si>
    <t>La respuesta fue controlada y equivalente.</t>
  </si>
  <si>
    <t>PR-028</t>
  </si>
  <si>
    <t>Cambio con token vigente</t>
  </si>
  <si>
    <t>Solicitud previa válida</t>
  </si>
  <si>
    <t>Token vigente y clave válida</t>
  </si>
  <si>
    <t>Abrir enlace y guardar nueva clave.</t>
  </si>
  <si>
    <t>Actualizar la contraseña.</t>
  </si>
  <si>
    <t>El flujo funciona, pero falta cerrar evidencia de caducidad y notificación.</t>
  </si>
  <si>
    <t>Cumple parcialmente</t>
  </si>
  <si>
    <t>DEF-001</t>
  </si>
  <si>
    <t>Completar revalidación integral antes del 03/10/2026.</t>
  </si>
  <si>
    <t>PR-029</t>
  </si>
  <si>
    <t>Token inválido o manipulado</t>
  </si>
  <si>
    <t>Enlace modificado</t>
  </si>
  <si>
    <t>Abrir el enlace alterado.</t>
  </si>
  <si>
    <t>Rechazar y permitir solicitar otro enlace.</t>
  </si>
  <si>
    <t>El sistema rechazó el token sin exponer trazas.</t>
  </si>
  <si>
    <t>PR-030</t>
  </si>
  <si>
    <t>Clave anterior queda invalidada</t>
  </si>
  <si>
    <t>Cambio exitoso</t>
  </si>
  <si>
    <t>Clave anterior y nueva</t>
  </si>
  <si>
    <t>Intentar acceso con ambas claves.</t>
  </si>
  <si>
    <t>Aceptar solo la nueva contraseña.</t>
  </si>
  <si>
    <t>La clave anterior dejó de funcionar.</t>
  </si>
  <si>
    <t>PR-031</t>
  </si>
  <si>
    <t>Perfil</t>
  </si>
  <si>
    <t>Consulta del perfil</t>
  </si>
  <si>
    <t>Perfil existente</t>
  </si>
  <si>
    <t>Abrir personalización.</t>
  </si>
  <si>
    <t>Mostrar únicamente datos del usuario actual.</t>
  </si>
  <si>
    <t>Los datos correctos fueron presentados.</t>
  </si>
  <si>
    <t>EV-007</t>
  </si>
  <si>
    <t>Actualización incorrecta del perfil</t>
  </si>
  <si>
    <t>PR-032</t>
  </si>
  <si>
    <t>Actualización válida</t>
  </si>
  <si>
    <t>Teléfono y nombres válidos</t>
  </si>
  <si>
    <t>Editar y guardar.</t>
  </si>
  <si>
    <t>Persistir los cambios permitidos.</t>
  </si>
  <si>
    <t>Los datos se conservaron tras recargar.</t>
  </si>
  <si>
    <t>Pérdida de información</t>
  </si>
  <si>
    <t>PR-033</t>
  </si>
  <si>
    <t>Actualización con formato inválido</t>
  </si>
  <si>
    <t>Guardar cambios.</t>
  </si>
  <si>
    <t>Rechazar y explicar el error.</t>
  </si>
  <si>
    <t>No se modificó el dato persistido.</t>
  </si>
  <si>
    <t>PR-034</t>
  </si>
  <si>
    <t>Acceso a perfil de otro usuario</t>
  </si>
  <si>
    <t>Dos cuentas existentes</t>
  </si>
  <si>
    <t>Identificador ajeno</t>
  </si>
  <si>
    <t>Modificar URL o petición.</t>
  </si>
  <si>
    <t>Denegar el acceso.</t>
  </si>
  <si>
    <t>La aplicación conservó el perfil del usuario autenticado.</t>
  </si>
  <si>
    <t>EV-006</t>
  </si>
  <si>
    <t>Escalada de privilegios</t>
  </si>
  <si>
    <t>PR-035</t>
  </si>
  <si>
    <t>Roles y permisos</t>
  </si>
  <si>
    <t>Acciones autorizadas por rol</t>
  </si>
  <si>
    <t>Usuarios de distintos roles</t>
  </si>
  <si>
    <t>Cuentas de prueba</t>
  </si>
  <si>
    <t>Ingresar con cada rol y recorrer el panel.</t>
  </si>
  <si>
    <t>Mostrar solo opciones autorizadas.</t>
  </si>
  <si>
    <t>El control básico funciona; falta completar todos los roles proyectados.</t>
  </si>
  <si>
    <t>DEF-002</t>
  </si>
  <si>
    <t>Completar matriz de permisos y revalidar antes del 02/10/2026.</t>
  </si>
  <si>
    <t>PR-036</t>
  </si>
  <si>
    <t>Ruta ajena al rol</t>
  </si>
  <si>
    <t>Usuario sin permiso</t>
  </si>
  <si>
    <t>URL protegida</t>
  </si>
  <si>
    <t>Acceder directamente.</t>
  </si>
  <si>
    <t>Responder con denegación o redirección.</t>
  </si>
  <si>
    <t>Las rutas verificadas rechazaron el acceso indebido.</t>
  </si>
  <si>
    <t>PR-037</t>
  </si>
  <si>
    <t>Panel corresponde al rol</t>
  </si>
  <si>
    <t>Roles del MVP</t>
  </si>
  <si>
    <t>Comparar menús y opciones.</t>
  </si>
  <si>
    <t>Presentar acciones coherentes con el rol.</t>
  </si>
  <si>
    <t>Los roles implementados muestran paneles diferenciados.</t>
  </si>
  <si>
    <t>PR-038</t>
  </si>
  <si>
    <t>Administración</t>
  </si>
  <si>
    <t>Acceso de superusuario al administrador</t>
  </si>
  <si>
    <t>Superusuario creado</t>
  </si>
  <si>
    <t>Credenciales administrativas</t>
  </si>
  <si>
    <t>Abrir /admin e iniciar sesión.</t>
  </si>
  <si>
    <t>Permitir acceso solo al superusuario.</t>
  </si>
  <si>
    <t>El administrador fue accesible con la cuenta autorizada.</t>
  </si>
  <si>
    <t>EV-039</t>
  </si>
  <si>
    <t>PR-039</t>
  </si>
  <si>
    <t>Validación del lado servidor</t>
  </si>
  <si>
    <t>Formulario disponible</t>
  </si>
  <si>
    <t>Petición modificada</t>
  </si>
  <si>
    <t>Enviar datos omitiendo controles HTML.</t>
  </si>
  <si>
    <t>Rechazar en Python.</t>
  </si>
  <si>
    <t>El servidor devolvió errores controlados.</t>
  </si>
  <si>
    <t>PR-040</t>
  </si>
  <si>
    <t>Manipulación e inyección básica</t>
  </si>
  <si>
    <t>Formularios disponibles</t>
  </si>
  <si>
    <t>Caracteres especiales y cargas de prueba</t>
  </si>
  <si>
    <t>Enviar entradas especiales.</t>
  </si>
  <si>
    <t>No alterar consultas ni datos.</t>
  </si>
  <si>
    <t>No se observaron modificaciones ni errores de base de datos.</t>
  </si>
  <si>
    <t>PR-041</t>
  </si>
  <si>
    <t>Errores sin información sensible</t>
  </si>
  <si>
    <t>Ambiente de prueba</t>
  </si>
  <si>
    <t>Petición inválida</t>
  </si>
  <si>
    <t>Provocar una validación controlada.</t>
  </si>
  <si>
    <t>No mostrar traceback, rutas ni consultas.</t>
  </si>
  <si>
    <t>La interfaz mostró un mensaje general.</t>
  </si>
  <si>
    <t>PR-042</t>
  </si>
  <si>
    <t>Revisión técnica</t>
  </si>
  <si>
    <t>Secretos fuera del repositorio</t>
  </si>
  <si>
    <t>Repositorio disponible</t>
  </si>
  <si>
    <t>settings y archivos ignorados</t>
  </si>
  <si>
    <t>Revisar código e historial.</t>
  </si>
  <si>
    <t>No encontrar claves, tokens ni .env.</t>
  </si>
  <si>
    <t>No se detectaron credenciales versionadas.</t>
  </si>
  <si>
    <t>EV-010</t>
  </si>
  <si>
    <t>Credenciales publicadas en Git</t>
  </si>
  <si>
    <t>PR-043</t>
  </si>
  <si>
    <t>Contraseña almacenada como hash</t>
  </si>
  <si>
    <t>Cuenta de prueba creada</t>
  </si>
  <si>
    <t>Registro anonimizado</t>
  </si>
  <si>
    <t>Consultar el campo de contraseña.</t>
  </si>
  <si>
    <t>Observar hash no reversible.</t>
  </si>
  <si>
    <t>La base conserva el hash de Django.</t>
  </si>
  <si>
    <t>PR-044</t>
  </si>
  <si>
    <t>Privacidad</t>
  </si>
  <si>
    <t>Aceptación de datos en cuenta local</t>
  </si>
  <si>
    <t>Primer acceso local</t>
  </si>
  <si>
    <t>Casilla y acción de aceptación</t>
  </si>
  <si>
    <t>Intentar continuar y luego aceptar.</t>
  </si>
  <si>
    <t>Bloquear hasta registrar consentimiento.</t>
  </si>
  <si>
    <t>La aceptación quedó registrada con fecha y hora.</t>
  </si>
  <si>
    <t>EV-042</t>
  </si>
  <si>
    <t>PR-045</t>
  </si>
  <si>
    <t>Aceptación en cuenta social</t>
  </si>
  <si>
    <t>Cuenta social ya habilitada</t>
  </si>
  <si>
    <t>Usuario OAuth de prueba</t>
  </si>
  <si>
    <t>Iniciar por proveedor y aceptar política.</t>
  </si>
  <si>
    <t>Aplicar el mismo control que al acceso local.</t>
  </si>
  <si>
    <t>El control se presentó al primer acceso.</t>
  </si>
  <si>
    <t>PR-046</t>
  </si>
  <si>
    <t>Bloqueo sin consentimiento</t>
  </si>
  <si>
    <t>Usuario sin aceptación</t>
  </si>
  <si>
    <t>URL interna</t>
  </si>
  <si>
    <t>Intentar omitir la pantalla.</t>
  </si>
  <si>
    <t>Impedir continuar hasta aceptar.</t>
  </si>
  <si>
    <t>El acceso fue redirigido al consentimiento.</t>
  </si>
  <si>
    <t>PR-047</t>
  </si>
  <si>
    <t>Contraste de texto y controles</t>
  </si>
  <si>
    <t>Pantallas principales</t>
  </si>
  <si>
    <t>Colores institucionales</t>
  </si>
  <si>
    <t>Medir combinaciones relevantes.</t>
  </si>
  <si>
    <t>Cumplir 4.5:1 o 3:1 según tamaño.</t>
  </si>
  <si>
    <t>Los componentes revisados alcanzaron el criterio.</t>
  </si>
  <si>
    <t>EV-012</t>
  </si>
  <si>
    <t>Contraste insuficiente</t>
  </si>
  <si>
    <t>PR-048</t>
  </si>
  <si>
    <t>Navegación del portal por teclado</t>
  </si>
  <si>
    <t>Portal cargado</t>
  </si>
  <si>
    <t>Tab, Enter y espacio</t>
  </si>
  <si>
    <t>Recorrer enlaces y botones.</t>
  </si>
  <si>
    <t>Acceder sin ratón.</t>
  </si>
  <si>
    <t>Los controles públicos fueron operables.</t>
  </si>
  <si>
    <t>EV-013</t>
  </si>
  <si>
    <t>Navegación por teclado incompleta</t>
  </si>
  <si>
    <t>PR-049</t>
  </si>
  <si>
    <t>Orden de foco en formularios</t>
  </si>
  <si>
    <t>Formularios de acceso y registro</t>
  </si>
  <si>
    <t>Teclado</t>
  </si>
  <si>
    <t>Recorrer campos y acciones.</t>
  </si>
  <si>
    <t>Mantener orden lógico y sin saltos.</t>
  </si>
  <si>
    <t>Persisten ajustes menores en algunos componentes.</t>
  </si>
  <si>
    <t>DEF-003</t>
  </si>
  <si>
    <t>Corregir orden de foco y repetir antes del 02/10/2026.</t>
  </si>
  <si>
    <t>PR-050</t>
  </si>
  <si>
    <t>Foco visible</t>
  </si>
  <si>
    <t>Navegación por teclado</t>
  </si>
  <si>
    <t>Observar cada control activo.</t>
  </si>
  <si>
    <t>Mostrar indicador visible.</t>
  </si>
  <si>
    <t>El foco fue visible en los controles revisados.</t>
  </si>
  <si>
    <t>Foco visual no visible</t>
  </si>
  <si>
    <t>PR-051</t>
  </si>
  <si>
    <t>Revisión HTML</t>
  </si>
  <si>
    <t>Etiquetas asociadas</t>
  </si>
  <si>
    <t>Código HTML</t>
  </si>
  <si>
    <t>Revisar label/for e interacción.</t>
  </si>
  <si>
    <t>Cada campo debe tener etiqueta comprensible.</t>
  </si>
  <si>
    <t>Los campos principales cuentan con etiquetas asociadas.</t>
  </si>
  <si>
    <t>Campos sin etiquetas comprensibles</t>
  </si>
  <si>
    <t>PR-052</t>
  </si>
  <si>
    <t>Información no depende solo del color</t>
  </si>
  <si>
    <t>Alertas y estados visibles</t>
  </si>
  <si>
    <t>Estados correctos y erróneos</t>
  </si>
  <si>
    <t>Revisar textos, iconos y colores.</t>
  </si>
  <si>
    <t>Combinar color con texto o símbolo.</t>
  </si>
  <si>
    <t>Los estados revisados tienen apoyo textual.</t>
  </si>
  <si>
    <t>Información comunicada solo con color</t>
  </si>
  <si>
    <t>PR-053</t>
  </si>
  <si>
    <t>Zoom al 200 %</t>
  </si>
  <si>
    <t>Navegador abierto</t>
  </si>
  <si>
    <t>Zoom 200 %</t>
  </si>
  <si>
    <t>Ampliar y recorrer las pantallas.</t>
  </si>
  <si>
    <t>No perder información ni acciones principales.</t>
  </si>
  <si>
    <t>La interfaz conservó el contenido esencial.</t>
  </si>
  <si>
    <t>EV-014</t>
  </si>
  <si>
    <t>Diseño adaptable defectuoso</t>
  </si>
  <si>
    <t>PR-054</t>
  </si>
  <si>
    <t>Lectura en voz y opciones adicionales</t>
  </si>
  <si>
    <t>Menú de accesibilidad disponible</t>
  </si>
  <si>
    <t>Contenido de prueba</t>
  </si>
  <si>
    <t>Activar lectura, tamaño, cursor y pausa.</t>
  </si>
  <si>
    <t>Aplicar cada opción sin bloquear el flujo.</t>
  </si>
  <si>
    <t>Las opciones respondieron en las pantallas verificadas.</t>
  </si>
  <si>
    <t>EV-043</t>
  </si>
  <si>
    <t>Flujo complejo para adultos mayores</t>
  </si>
  <si>
    <t>PR-055</t>
  </si>
  <si>
    <t>Persistencia de preferencias</t>
  </si>
  <si>
    <t>Preferencia activada</t>
  </si>
  <si>
    <t>Recarga y cambio de página</t>
  </si>
  <si>
    <t>Configurar y navegar.</t>
  </si>
  <si>
    <t>Conservar la preferencia durante la sesión.</t>
  </si>
  <si>
    <t>La configuración se mantuvo en la navegación probada.</t>
  </si>
  <si>
    <t>PR-056</t>
  </si>
  <si>
    <t>Flujos principales en Chrome</t>
  </si>
  <si>
    <t>Chrome disponible</t>
  </si>
  <si>
    <t>Registro, acceso y perfil</t>
  </si>
  <si>
    <t>Ejecutar recorrido principal.</t>
  </si>
  <si>
    <t>Obtener el mismo resultado funcional.</t>
  </si>
  <si>
    <t>Los flujos ejecutados respondieron correctamente.</t>
  </si>
  <si>
    <t>Diferencias entre Chrome y Edge</t>
  </si>
  <si>
    <t>PR-057</t>
  </si>
  <si>
    <t>Flujos principales en Edge</t>
  </si>
  <si>
    <t>Edge disponible</t>
  </si>
  <si>
    <t>No se identificaron diferencias bloqueantes.</t>
  </si>
  <si>
    <t>PR-058</t>
  </si>
  <si>
    <t>Resolución móvil</t>
  </si>
  <si>
    <t>Vista móvil simulada</t>
  </si>
  <si>
    <t>Ancho de dispositivo móvil</t>
  </si>
  <si>
    <t>Recorrer portal y formularios.</t>
  </si>
  <si>
    <t>Evitar superposición y desplazamiento horizontal.</t>
  </si>
  <si>
    <t>La vista mantuvo los controles accesibles.</t>
  </si>
  <si>
    <t>PR-059</t>
  </si>
  <si>
    <t>Carga de páginas principales</t>
  </si>
  <si>
    <t>Ambiente local</t>
  </si>
  <si>
    <t>Portal, acceso y registro</t>
  </si>
  <si>
    <t>Medir tiempo de carga.</t>
  </si>
  <si>
    <t>No superar 3 segundos.</t>
  </si>
  <si>
    <t>Las páginas medidas se mantuvieron dentro del umbral.</t>
  </si>
  <si>
    <t>EV-018</t>
  </si>
  <si>
    <t>Carga lenta de páginas</t>
  </si>
  <si>
    <t>PR-060</t>
  </si>
  <si>
    <t>Respuesta de servicios críticos</t>
  </si>
  <si>
    <t>Registro, login y perfil</t>
  </si>
  <si>
    <t>Medir respuesta del servidor.</t>
  </si>
  <si>
    <t>No superar 2 segundos localmente.</t>
  </si>
  <si>
    <t>Las operaciones revisadas cumplieron el umbral.</t>
  </si>
  <si>
    <t>Servicios Python lentos</t>
  </si>
  <si>
    <t>PR-061</t>
  </si>
  <si>
    <t>Datos</t>
  </si>
  <si>
    <t>Persistencia</t>
  </si>
  <si>
    <t>Registros después de reinicio</t>
  </si>
  <si>
    <t>Datos de prueba creados</t>
  </si>
  <si>
    <t>Cuenta y perfil</t>
  </si>
  <si>
    <t>Reiniciar aplicación y consultar.</t>
  </si>
  <si>
    <t>Mantener los registros confirmados.</t>
  </si>
  <si>
    <t>Los datos permanecieron disponibles.</t>
  </si>
  <si>
    <t>PR-062</t>
  </si>
  <si>
    <t>Integridad</t>
  </si>
  <si>
    <t>Restricción única de correo</t>
  </si>
  <si>
    <t>Base de datos disponible</t>
  </si>
  <si>
    <t>Correo existente</t>
  </si>
  <si>
    <t>Intentar duplicar desde el servicio.</t>
  </si>
  <si>
    <t>La restricción y la validación evitaron duplicados.</t>
  </si>
  <si>
    <t>PR-063</t>
  </si>
  <si>
    <t>Flujo principal frontend-backend</t>
  </si>
  <si>
    <t>Servicios y plantillas integrados</t>
  </si>
  <si>
    <t>Registro, login, panel y perfil</t>
  </si>
  <si>
    <t>Ejecutar el recorrido completo.</t>
  </si>
  <si>
    <t>Mantener datos, sesión y mensajes coherentes.</t>
  </si>
  <si>
    <t>El flujo principal funciona; continúan pruebas integrales de escenarios secundarios.</t>
  </si>
  <si>
    <t>EV-020</t>
  </si>
  <si>
    <t>Integración tardía de HTML y Python</t>
  </si>
  <si>
    <t>DEF-004</t>
  </si>
  <si>
    <t>Completar regresión integral antes del 02/10/2026.</t>
  </si>
  <si>
    <t>PR-064</t>
  </si>
  <si>
    <t>Auditoría</t>
  </si>
  <si>
    <t>Registro de accesos y operaciones</t>
  </si>
  <si>
    <t>Logs habilitados</t>
  </si>
  <si>
    <t>Inicio, cierre y cambio de perfil</t>
  </si>
  <si>
    <t>Ejecutar acciones y revisar registros.</t>
  </si>
  <si>
    <t>Guardar fecha, usuario y evento sin secretos.</t>
  </si>
  <si>
    <t>Se registran eventos técnicos, pero faltan operaciones funcionales.</t>
  </si>
  <si>
    <t>EV-033</t>
  </si>
  <si>
    <t>DEF-005</t>
  </si>
  <si>
    <t>Completar cobertura de auditoría antes del 03/10/2026.</t>
  </si>
  <si>
    <t>PR-065</t>
  </si>
  <si>
    <t>Solicitudes</t>
  </si>
  <si>
    <t>Funcional</t>
  </si>
  <si>
    <t>Alta y ubicación de solicitudes</t>
  </si>
  <si>
    <t>Funcionalidad disponible en código</t>
  </si>
  <si>
    <t>Datos de prueba por preparar</t>
  </si>
  <si>
    <t>Registrar, seleccionar ubicación, validar, persistir y verificar correo.</t>
  </si>
  <si>
    <t>Resultado conforme al criterio funcional y de seguridad.</t>
  </si>
  <si>
    <t>Sin ejecución verificable adjunta.</t>
  </si>
  <si>
    <t>No evaluado</t>
  </si>
  <si>
    <t>EV-034</t>
  </si>
  <si>
    <t>Adjuntar caso, captura o resultado antes del 04/10/2026.</t>
  </si>
  <si>
    <t>PR-066</t>
  </si>
  <si>
    <t>Funcional y seguridad</t>
  </si>
  <si>
    <t>Consulta, edición y cancelación</t>
  </si>
  <si>
    <t>Verificar pertenencia, estados, edición, cancelación y URL manipulada.</t>
  </si>
  <si>
    <t>EV-035</t>
  </si>
  <si>
    <t>PR-067</t>
  </si>
  <si>
    <t>Voluntariado</t>
  </si>
  <si>
    <t>Panel y postulación de voluntarios</t>
  </si>
  <si>
    <t>Probar listado, detalle, distancias, postulación, retiro y persistencia.</t>
  </si>
  <si>
    <t>EV-036</t>
  </si>
  <si>
    <t>PR-068</t>
  </si>
  <si>
    <t>Coordinación</t>
  </si>
  <si>
    <t>Revisión y asignación de solicitudes</t>
  </si>
  <si>
    <t>Probar decisiones, postulaciones, asignación, auditoría y permisos.</t>
  </si>
  <si>
    <t>EV-037</t>
  </si>
  <si>
    <t>PR-069</t>
  </si>
  <si>
    <t>Contacto</t>
  </si>
  <si>
    <t>Casos de contacto y actuaciones</t>
  </si>
  <si>
    <t>Probar registro, acuse, revisión, notas, historial y correo.</t>
  </si>
  <si>
    <t>EV-038</t>
  </si>
  <si>
    <t>PR-070</t>
  </si>
  <si>
    <t>Usuarios, roles y catálogos</t>
  </si>
  <si>
    <t>Probar alta administrativa, activación, permisos, roles y acceso directo.</t>
  </si>
  <si>
    <t>PR-071</t>
  </si>
  <si>
    <t>Instituciones avaladas y carrusel</t>
  </si>
  <si>
    <t>Probar alta, imagen, enlace, visualización y navegación circular.</t>
  </si>
  <si>
    <t>EV-040</t>
  </si>
  <si>
    <t>PR-072</t>
  </si>
  <si>
    <t>Activación, correo y acceso social</t>
  </si>
  <si>
    <t>Probar reenvío, caducidad, confirmación y Google/Microsoft con cuenta habilitada.</t>
  </si>
  <si>
    <t>PR-073</t>
  </si>
  <si>
    <t>Aceptación de datos personales completa</t>
  </si>
  <si>
    <t>Probar acceso local/social, aceptación, fecha y bloqueo hasta consentir.</t>
  </si>
  <si>
    <t>PR-074</t>
  </si>
  <si>
    <t>Opciones en ambos paneles y roles</t>
  </si>
  <si>
    <t>Probar teclado, foco, contraste, voz, texto, cursor y persistencia.</t>
  </si>
  <si>
    <t>Defectos y revalidación</t>
  </si>
  <si>
    <t>Hallazgos derivados de resultados parciales. El cierre exige corrección, nueva ejecución y evidencia actualizada.</t>
  </si>
  <si>
    <t>Título</t>
  </si>
  <si>
    <t>Descripción</t>
  </si>
  <si>
    <t>Severidad</t>
  </si>
  <si>
    <t>Fecha compromiso</t>
  </si>
  <si>
    <t>Estado</t>
  </si>
  <si>
    <t>Caso relacionado</t>
  </si>
  <si>
    <t>Acción de revalidación</t>
  </si>
  <si>
    <t>Validación integral incompleta</t>
  </si>
  <si>
    <t>Falta consolidar evidencia de token, caducidad y notificación.</t>
  </si>
  <si>
    <t>Media</t>
  </si>
  <si>
    <t>En corrección</t>
  </si>
  <si>
    <t>Revalidar flujo completo.</t>
  </si>
  <si>
    <t>Cobertura incompleta de roles</t>
  </si>
  <si>
    <t>La matriz y pruebas no incluyen todos los roles proyectados.</t>
  </si>
  <si>
    <t>Alta</t>
  </si>
  <si>
    <t>Ejecutar autorización por rol y acceso directo.</t>
  </si>
  <si>
    <t>Orden de foco requiere ajustes</t>
  </si>
  <si>
    <t>Algunos componentes presentan recorrido de teclado mejorable.</t>
  </si>
  <si>
    <t>Repetir prueba de teclado después del ajuste.</t>
  </si>
  <si>
    <t>Regresión integral pendiente</t>
  </si>
  <si>
    <t>El flujo principal funciona, pero faltan escenarios secundarios.</t>
  </si>
  <si>
    <t>Ejecutar smoke test y regresión completa.</t>
  </si>
  <si>
    <t>Cobertura funcional incompleta</t>
  </si>
  <si>
    <t>Los logs no cubren todas las operaciones relevantes.</t>
  </si>
  <si>
    <t>Confirmar fecha, usuario y evento sin datos sensibles.</t>
  </si>
  <si>
    <t>Estado defecto</t>
  </si>
  <si>
    <t>Alex Mendoza Morante</t>
  </si>
  <si>
    <t>Crítica</t>
  </si>
  <si>
    <t>Abierto</t>
  </si>
  <si>
    <t>En ejecución</t>
  </si>
  <si>
    <t>Ejecutada conforme</t>
  </si>
  <si>
    <t>Pendiente de revalidación</t>
  </si>
  <si>
    <t>Bloqueada</t>
  </si>
  <si>
    <t>Lowest</t>
  </si>
  <si>
    <t>Ejecutada no conforme</t>
  </si>
  <si>
    <t>Baja</t>
  </si>
  <si>
    <t>Cerrado</t>
  </si>
  <si>
    <t>Aceptado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</si>
</sst>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>
    <font>
      <sz val="11"/>
      <name val="Carlito"/>
    </font>
    <font>
      <b/>
      <sz val="16"/>
      <color rgb="FF2A3966"/>
      <name val="Arial"/>
    </font>
    <font>
      <i/>
      <sz val="11"/>
      <color rgb="FF222B3A"/>
      <name val="Arial"/>
    </font>
    <font>
      <b/>
      <sz val="10"/>
      <color rgb="FFFFFFFF"/>
      <name val="Arial"/>
    </font>
    <font>
      <sz val="10"/>
      <color rgb="FF222B3A"/>
      <name val="Arial"/>
    </font>
    <font>
      <b/>
      <sz val="10"/>
      <color rgb="FF222B3A"/>
      <name val="Arial"/>
    </font>
    <font>
      <b/>
      <sz val="14"/>
      <color rgb="FF2A3966"/>
      <name val="Arial"/>
    </font>
    <font>
      <b/>
      <sz val="11"/>
      <color rgb="FFFFFFFF"/>
      <name val="Arial"/>
    </font>
    <font>
      <b/>
      <sz val="10"/>
      <color rgb="FF2A3966"/>
      <name val="Arial"/>
    </font>
  </fonts>
  <fills count="6">
    <fill>
      <patternFill patternType="none"/>
    </fill>
    <fill>
      <patternFill patternType="gray125"/>
    </fill>
    <fill>
      <patternFill patternType="solid">
        <fgColor rgb="FFF6F8FB"/>
      </patternFill>
    </fill>
    <fill>
      <patternFill patternType="solid">
        <fgColor rgb="FF2A3966"/>
      </patternFill>
    </fill>
    <fill>
      <patternFill patternType="solid">
        <fgColor rgb="FFE9EDF5"/>
      </patternFill>
    </fill>
    <fill>
      <patternFill patternType="solid">
        <fgColor rgb="FFC92351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8CED8"/>
      </left>
      <right style="thin">
        <color rgb="FFC8CED8"/>
      </right>
      <top style="thin">
        <color rgb="FFC8CED8"/>
      </top>
      <bottom style="thin">
        <color rgb="FFC8CED8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5" fillId="4" borderId="2" xfId="0" applyFont="1" applyFill="1" applyBorder="1" applyAlignment="1">
      <alignment vertical="top" wrapText="1"/>
    </xf>
    <xf numFmtId="0" fontId="6" fillId="0" borderId="2" xfId="0" applyFont="1" applyBorder="1" applyAlignment="1">
      <alignment horizontal="center" vertical="top" wrapText="1"/>
    </xf>
    <xf numFmtId="164" fontId="6" fillId="0" borderId="2" xfId="0" applyNumberFormat="1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14" fontId="4" fillId="0" borderId="2" xfId="0" applyNumberFormat="1" applyFont="1" applyBorder="1" applyAlignment="1">
      <alignment vertical="top" wrapText="1"/>
    </xf>
    <xf numFmtId="0" fontId="1" fillId="0" borderId="0" xfId="0" applyFont="1" applyAlignment="1">
      <alignment vertical="center"/>
    </xf>
    <xf numFmtId="0" fontId="0" fillId="0" borderId="0" xfId="0"/>
    <xf numFmtId="0" fontId="2" fillId="2" borderId="0" xfId="0" applyFont="1" applyFill="1" applyAlignment="1">
      <alignment wrapText="1"/>
    </xf>
    <xf numFmtId="0" fontId="7" fillId="5" borderId="0" xfId="0" applyFont="1" applyFill="1"/>
    <xf numFmtId="0" fontId="4" fillId="0" borderId="2" xfId="0" applyFont="1" applyBorder="1" applyAlignment="1">
      <alignment vertical="top" wrapText="1"/>
    </xf>
    <xf numFmtId="0" fontId="2" fillId="2" borderId="0" xfId="0" applyFont="1" applyFill="1"/>
  </cellXfs>
  <cellStyles count="1">
    <cellStyle name="Normal" xfId="0" builtinId="0"/>
  </cellStyles>
  <dxfs count="3"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6500"/>
      </font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A3966"/>
  </sheetPr>
  <dimension ref="B2:J24"/>
  <sheetViews>
    <sheetView showGridLines="0" tabSelected="1" workbookViewId="0">
      <selection activeCell="C18" sqref="C18:J18"/>
    </sheetView>
  </sheetViews>
  <sheetFormatPr baseColWidth="10" defaultColWidth="8.796875" defaultRowHeight="13.8"/>
  <cols>
    <col min="1" max="1" width="6" customWidth="1"/>
    <col min="2" max="2" width="33" customWidth="1"/>
    <col min="3" max="3" width="18" customWidth="1"/>
    <col min="4" max="4" width="32" customWidth="1"/>
    <col min="5" max="5" width="3" customWidth="1"/>
    <col min="6" max="6" width="22" customWidth="1"/>
    <col min="7" max="10" width="14" customWidth="1"/>
  </cols>
  <sheetData>
    <row r="2" spans="2:10" ht="28.05" customHeight="1">
      <c r="B2" s="8" t="s">
        <v>0</v>
      </c>
      <c r="C2" s="9"/>
      <c r="D2" s="9"/>
      <c r="E2" s="9"/>
      <c r="F2" s="9"/>
      <c r="G2" s="9"/>
      <c r="H2" s="9"/>
      <c r="I2" s="9"/>
      <c r="J2" s="9"/>
    </row>
    <row r="3" spans="2:10" ht="14.4">
      <c r="B3" s="10" t="s">
        <v>1</v>
      </c>
      <c r="C3" s="10"/>
      <c r="D3" s="10"/>
      <c r="E3" s="10"/>
      <c r="F3" s="10"/>
      <c r="G3" s="10"/>
      <c r="H3" s="10"/>
      <c r="I3" s="10"/>
      <c r="J3" s="10"/>
    </row>
    <row r="5" spans="2:10">
      <c r="B5" s="1" t="s">
        <v>2</v>
      </c>
      <c r="C5" s="1" t="s">
        <v>3</v>
      </c>
      <c r="D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</row>
    <row r="6" spans="2:10" ht="17.399999999999999">
      <c r="B6" s="3" t="s">
        <v>10</v>
      </c>
      <c r="C6" s="4">
        <f>COUNTA('Pruebas realizadas'!A10:A84)</f>
        <v>74</v>
      </c>
      <c r="D6" s="2" t="s">
        <v>11</v>
      </c>
      <c r="F6" s="2" t="s">
        <v>12</v>
      </c>
      <c r="G6" s="2">
        <f>COUNTIFS('Pruebas realizadas'!$C$10:$C$84,$F6,'Pruebas realizadas'!$J$10:$J$84,"Ejecutada")</f>
        <v>16</v>
      </c>
      <c r="H6" s="2">
        <f>COUNTIFS('Pruebas realizadas'!$C$10:$C$84,$F6,'Pruebas realizadas'!$K$10:$K$84,"Cumple")</f>
        <v>15</v>
      </c>
      <c r="I6" s="2">
        <f>COUNTIFS('Pruebas realizadas'!$C$10:$C$84,$F6,'Pruebas realizadas'!$K$10:$K$84,"Cumple parcialmente")</f>
        <v>1</v>
      </c>
      <c r="J6" s="2">
        <f>COUNTIFS('Pruebas realizadas'!$C$10:$C$84,$F6,'Pruebas realizadas'!$J$10:$J$84,"Pendiente")</f>
        <v>0</v>
      </c>
    </row>
    <row r="7" spans="2:10" ht="17.399999999999999">
      <c r="B7" s="3" t="s">
        <v>13</v>
      </c>
      <c r="C7" s="4">
        <f>COUNTIF('Pruebas realizadas'!J10:J84,"Ejecutada")</f>
        <v>64</v>
      </c>
      <c r="D7" s="2" t="s">
        <v>14</v>
      </c>
      <c r="F7" s="2" t="s">
        <v>15</v>
      </c>
      <c r="G7" s="2">
        <f>COUNTIFS('Pruebas realizadas'!$C$10:$C$84,$F7,'Pruebas realizadas'!$J$10:$J$84,"Ejecutada")</f>
        <v>9</v>
      </c>
      <c r="H7" s="2">
        <f>COUNTIFS('Pruebas realizadas'!$C$10:$C$84,$F7,'Pruebas realizadas'!$K$10:$K$84,"Cumple")</f>
        <v>9</v>
      </c>
      <c r="I7" s="2">
        <f>COUNTIFS('Pruebas realizadas'!$C$10:$C$84,$F7,'Pruebas realizadas'!$K$10:$K$84,"Cumple parcialmente")</f>
        <v>0</v>
      </c>
      <c r="J7" s="2">
        <f>COUNTIFS('Pruebas realizadas'!$C$10:$C$84,$F7,'Pruebas realizadas'!$J$10:$J$84,"Pendiente")</f>
        <v>0</v>
      </c>
    </row>
    <row r="8" spans="2:10" ht="17.399999999999999">
      <c r="B8" s="3" t="s">
        <v>16</v>
      </c>
      <c r="C8" s="4">
        <f>COUNTIF('Pruebas realizadas'!J10:J84,"Pendiente")</f>
        <v>10</v>
      </c>
      <c r="D8" s="2" t="s">
        <v>17</v>
      </c>
      <c r="F8" s="2" t="s">
        <v>18</v>
      </c>
      <c r="G8" s="2">
        <f>COUNTIFS('Pruebas realizadas'!$C$10:$C$84,$F8,'Pruebas realizadas'!$J$10:$J$84,"Ejecutada")</f>
        <v>6</v>
      </c>
      <c r="H8" s="2">
        <f>COUNTIFS('Pruebas realizadas'!$C$10:$C$84,$F8,'Pruebas realizadas'!$K$10:$K$84,"Cumple")</f>
        <v>4</v>
      </c>
      <c r="I8" s="2">
        <f>COUNTIFS('Pruebas realizadas'!$C$10:$C$84,$F8,'Pruebas realizadas'!$K$10:$K$84,"Cumple parcialmente")</f>
        <v>2</v>
      </c>
      <c r="J8" s="2">
        <f>COUNTIFS('Pruebas realizadas'!$C$10:$C$84,$F8,'Pruebas realizadas'!$J$10:$J$84,"Pendiente")</f>
        <v>2</v>
      </c>
    </row>
    <row r="9" spans="2:10" ht="17.399999999999999">
      <c r="B9" s="3" t="s">
        <v>19</v>
      </c>
      <c r="C9" s="4">
        <f>COUNTIF('Pruebas realizadas'!K10:K84,"Cumple")</f>
        <v>59</v>
      </c>
      <c r="D9" s="2" t="s">
        <v>20</v>
      </c>
      <c r="F9" s="2" t="s">
        <v>21</v>
      </c>
      <c r="G9" s="2">
        <f>COUNTIFS('Pruebas realizadas'!$C$10:$C$84,$F9,'Pruebas realizadas'!$J$10:$J$84,"Ejecutada")</f>
        <v>8</v>
      </c>
      <c r="H9" s="2">
        <f>COUNTIFS('Pruebas realizadas'!$C$10:$C$84,$F9,'Pruebas realizadas'!$K$10:$K$84,"Cumple")</f>
        <v>7</v>
      </c>
      <c r="I9" s="2">
        <f>COUNTIFS('Pruebas realizadas'!$C$10:$C$84,$F9,'Pruebas realizadas'!$K$10:$K$84,"Cumple parcialmente")</f>
        <v>1</v>
      </c>
      <c r="J9" s="2">
        <f>COUNTIFS('Pruebas realizadas'!$C$10:$C$84,$F9,'Pruebas realizadas'!$J$10:$J$84,"Pendiente")</f>
        <v>1</v>
      </c>
    </row>
    <row r="10" spans="2:10" ht="17.399999999999999">
      <c r="B10" s="3" t="s">
        <v>22</v>
      </c>
      <c r="C10" s="4">
        <f>COUNTIF('Pruebas realizadas'!K10:K84,"Cumple parcialmente")</f>
        <v>5</v>
      </c>
      <c r="D10" s="2" t="s">
        <v>23</v>
      </c>
      <c r="F10" s="2" t="s">
        <v>24</v>
      </c>
      <c r="G10" s="2">
        <f>COUNTIFS('Pruebas realizadas'!$C$10:$C$84,$F10,'Pruebas realizadas'!$J$10:$J$84,"Ejecutada")</f>
        <v>2</v>
      </c>
      <c r="H10" s="2">
        <f>COUNTIFS('Pruebas realizadas'!$C$10:$C$84,$F10,'Pruebas realizadas'!$K$10:$K$84,"Cumple")</f>
        <v>2</v>
      </c>
      <c r="I10" s="2">
        <f>COUNTIFS('Pruebas realizadas'!$C$10:$C$84,$F10,'Pruebas realizadas'!$K$10:$K$84,"Cumple parcialmente")</f>
        <v>0</v>
      </c>
      <c r="J10" s="2">
        <f>COUNTIFS('Pruebas realizadas'!$C$10:$C$84,$F10,'Pruebas realizadas'!$J$10:$J$84,"Pendiente")</f>
        <v>0</v>
      </c>
    </row>
    <row r="11" spans="2:10" ht="17.399999999999999">
      <c r="B11" s="3" t="s">
        <v>25</v>
      </c>
      <c r="C11" s="4">
        <f>COUNTIF('Pruebas realizadas'!K10:K84,"No cumple")</f>
        <v>0</v>
      </c>
      <c r="D11" s="2" t="s">
        <v>26</v>
      </c>
      <c r="F11" s="2" t="s">
        <v>27</v>
      </c>
      <c r="G11" s="2">
        <f>COUNTIFS('Pruebas realizadas'!$C$10:$C$84,$F11,'Pruebas realizadas'!$J$10:$J$84,"Ejecutada")</f>
        <v>2</v>
      </c>
      <c r="H11" s="2">
        <f>COUNTIFS('Pruebas realizadas'!$C$10:$C$84,$F11,'Pruebas realizadas'!$K$10:$K$84,"Cumple")</f>
        <v>2</v>
      </c>
      <c r="I11" s="2">
        <f>COUNTIFS('Pruebas realizadas'!$C$10:$C$84,$F11,'Pruebas realizadas'!$K$10:$K$84,"Cumple parcialmente")</f>
        <v>0</v>
      </c>
      <c r="J11" s="2">
        <f>COUNTIFS('Pruebas realizadas'!$C$10:$C$84,$F11,'Pruebas realizadas'!$J$10:$J$84,"Pendiente")</f>
        <v>0</v>
      </c>
    </row>
    <row r="12" spans="2:10" ht="17.399999999999999">
      <c r="B12" s="3" t="s">
        <v>28</v>
      </c>
      <c r="C12" s="5">
        <f>IFERROR(C7/C6,0)</f>
        <v>0.86486486486486491</v>
      </c>
      <c r="D12" s="2" t="s">
        <v>29</v>
      </c>
      <c r="F12" s="2" t="s">
        <v>30</v>
      </c>
      <c r="G12" s="2">
        <f>COUNTIFS('Pruebas realizadas'!$C$10:$C$84,$F12,'Pruebas realizadas'!$J$10:$J$84,"Ejecutada")</f>
        <v>1</v>
      </c>
      <c r="H12" s="2">
        <f>COUNTIFS('Pruebas realizadas'!$C$10:$C$84,$F12,'Pruebas realizadas'!$K$10:$K$84,"Cumple")</f>
        <v>0</v>
      </c>
      <c r="I12" s="2">
        <f>COUNTIFS('Pruebas realizadas'!$C$10:$C$84,$F12,'Pruebas realizadas'!$K$10:$K$84,"Cumple parcialmente")</f>
        <v>1</v>
      </c>
      <c r="J12" s="2">
        <f>COUNTIFS('Pruebas realizadas'!$C$10:$C$84,$F12,'Pruebas realizadas'!$J$10:$J$84,"Pendiente")</f>
        <v>1</v>
      </c>
    </row>
    <row r="13" spans="2:10" ht="26.4">
      <c r="B13" s="3" t="s">
        <v>31</v>
      </c>
      <c r="C13" s="5">
        <f>IFERROR((C9+C10*0.5)/(C7),0)</f>
        <v>0.9609375</v>
      </c>
      <c r="D13" s="2" t="s">
        <v>32</v>
      </c>
    </row>
    <row r="16" spans="2:10">
      <c r="B16" s="11" t="s">
        <v>33</v>
      </c>
      <c r="C16" s="9"/>
      <c r="D16" s="9"/>
      <c r="E16" s="9"/>
      <c r="F16" s="9"/>
      <c r="G16" s="9"/>
      <c r="H16" s="9"/>
      <c r="I16" s="9"/>
      <c r="J16" s="9"/>
    </row>
    <row r="17" spans="2:10">
      <c r="B17" s="2" t="s">
        <v>34</v>
      </c>
      <c r="C17" s="12" t="s">
        <v>35</v>
      </c>
      <c r="D17" s="12"/>
      <c r="E17" s="12"/>
      <c r="F17" s="12"/>
      <c r="G17" s="12"/>
      <c r="H17" s="12"/>
      <c r="I17" s="12"/>
      <c r="J17" s="12"/>
    </row>
    <row r="18" spans="2:10">
      <c r="B18" s="2" t="s">
        <v>36</v>
      </c>
      <c r="C18" s="12" t="s">
        <v>37</v>
      </c>
      <c r="D18" s="12"/>
      <c r="E18" s="12"/>
      <c r="F18" s="12"/>
      <c r="G18" s="12"/>
      <c r="H18" s="12"/>
      <c r="I18" s="12"/>
      <c r="J18" s="12"/>
    </row>
    <row r="19" spans="2:10">
      <c r="B19" s="2" t="s">
        <v>38</v>
      </c>
      <c r="C19" s="12" t="s">
        <v>39</v>
      </c>
      <c r="D19" s="12"/>
      <c r="E19" s="12"/>
      <c r="F19" s="12"/>
      <c r="G19" s="12"/>
      <c r="H19" s="12"/>
      <c r="I19" s="12"/>
      <c r="J19" s="12"/>
    </row>
    <row r="20" spans="2:10">
      <c r="B20" s="2" t="s">
        <v>40</v>
      </c>
      <c r="C20" s="12" t="s">
        <v>41</v>
      </c>
      <c r="D20" s="12"/>
      <c r="E20" s="12"/>
      <c r="F20" s="12"/>
      <c r="G20" s="12"/>
      <c r="H20" s="12"/>
      <c r="I20" s="12"/>
      <c r="J20" s="12"/>
    </row>
    <row r="23" spans="2:10">
      <c r="B23" s="3" t="s">
        <v>42</v>
      </c>
      <c r="C23" s="12" t="s">
        <v>43</v>
      </c>
      <c r="D23" s="12"/>
      <c r="E23" s="12"/>
      <c r="F23" s="12"/>
      <c r="G23" s="12"/>
      <c r="H23" s="12"/>
      <c r="I23" s="12"/>
      <c r="J23" s="12"/>
    </row>
    <row r="24" spans="2:10">
      <c r="B24" s="3" t="s">
        <v>44</v>
      </c>
      <c r="C24" s="12" t="s">
        <v>45</v>
      </c>
      <c r="D24" s="12"/>
      <c r="E24" s="12"/>
      <c r="F24" s="12"/>
      <c r="G24" s="12"/>
      <c r="H24" s="12"/>
      <c r="I24" s="12"/>
      <c r="J24" s="12"/>
    </row>
  </sheetData>
  <mergeCells count="9">
    <mergeCell ref="C19:J19"/>
    <mergeCell ref="C20:J20"/>
    <mergeCell ref="C23:J23"/>
    <mergeCell ref="C24:J24"/>
    <mergeCell ref="B2:J2"/>
    <mergeCell ref="B3:J3"/>
    <mergeCell ref="B16:J16"/>
    <mergeCell ref="C17:J17"/>
    <mergeCell ref="C18:J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2351"/>
  </sheetPr>
  <dimension ref="A2:S84"/>
  <sheetViews>
    <sheetView showGridLines="0" workbookViewId="0">
      <pane xSplit="4" ySplit="9" topLeftCell="E16" activePane="bottomRight" state="frozen"/>
      <selection pane="topRight"/>
      <selection pane="bottomLeft"/>
      <selection pane="bottomRight" activeCell="E10" sqref="E10"/>
    </sheetView>
  </sheetViews>
  <sheetFormatPr baseColWidth="10" defaultColWidth="8.796875" defaultRowHeight="13.8"/>
  <cols>
    <col min="1" max="1" width="12" customWidth="1"/>
    <col min="2" max="2" width="18" customWidth="1"/>
    <col min="3" max="3" width="20" customWidth="1"/>
    <col min="4" max="4" width="30" customWidth="1"/>
    <col min="5" max="5" width="28" customWidth="1"/>
    <col min="6" max="6" width="24" customWidth="1"/>
    <col min="7" max="9" width="42" customWidth="1"/>
    <col min="10" max="10" width="16" customWidth="1"/>
    <col min="11" max="11" width="19" customWidth="1"/>
    <col min="12" max="12" width="12" customWidth="1"/>
    <col min="13" max="13" width="23" customWidth="1"/>
    <col min="14" max="14" width="14" customWidth="1"/>
    <col min="15" max="15" width="12" customWidth="1"/>
    <col min="16" max="16" width="28" customWidth="1"/>
    <col min="17" max="17" width="13" customWidth="1"/>
    <col min="18" max="18" width="15" customWidth="1"/>
    <col min="19" max="19" width="40" customWidth="1"/>
  </cols>
  <sheetData>
    <row r="2" spans="1:19" ht="28.05" customHeight="1">
      <c r="A2" s="8" t="s">
        <v>46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ht="14.4">
      <c r="A3" s="10" t="s">
        <v>47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</row>
    <row r="5" spans="1:19">
      <c r="A5" s="1" t="s">
        <v>48</v>
      </c>
      <c r="B5" s="1" t="s">
        <v>6</v>
      </c>
      <c r="C5" s="1" t="s">
        <v>16</v>
      </c>
      <c r="D5" s="1" t="s">
        <v>7</v>
      </c>
      <c r="E5" s="1" t="s">
        <v>8</v>
      </c>
      <c r="F5" s="1" t="s">
        <v>49</v>
      </c>
      <c r="G5" s="1" t="s">
        <v>50</v>
      </c>
      <c r="H5" s="1" t="s">
        <v>51</v>
      </c>
    </row>
    <row r="6" spans="1:19">
      <c r="A6" s="6">
        <f>COUNTA(A10:A84)</f>
        <v>74</v>
      </c>
      <c r="B6" s="6">
        <f>COUNTIF(J10:J84,"Ejecutada")</f>
        <v>64</v>
      </c>
      <c r="C6" s="6">
        <f>COUNTIF(J10:J84,"Pendiente")</f>
        <v>10</v>
      </c>
      <c r="D6" s="6">
        <f>COUNTIF(K10:K84,"Cumple")</f>
        <v>59</v>
      </c>
      <c r="E6" s="6">
        <f>COUNTIF(K10:K84,"Cumple parcialmente")</f>
        <v>5</v>
      </c>
      <c r="F6" s="6">
        <f>COUNTIF(K10:K84,"No cumple")</f>
        <v>0</v>
      </c>
      <c r="G6" s="6">
        <f>COUNTA('Defectos y revalidación'!A7:A11)</f>
        <v>5</v>
      </c>
      <c r="H6" s="6" t="str">
        <f>IF(F6&gt;0,"NO APROBADO",IF(E6&gt;0,"EN SEGUIMIENTO",IF(C6&gt;0,"PENDIENTE","CONFORME")))</f>
        <v>EN SEGUIMIENTO</v>
      </c>
    </row>
    <row r="9" spans="1:19" ht="45" customHeight="1">
      <c r="A9" s="1" t="s">
        <v>52</v>
      </c>
      <c r="B9" s="1" t="s">
        <v>53</v>
      </c>
      <c r="C9" s="1" t="s">
        <v>54</v>
      </c>
      <c r="D9" s="1" t="s">
        <v>55</v>
      </c>
      <c r="E9" s="1" t="s">
        <v>56</v>
      </c>
      <c r="F9" s="1" t="s">
        <v>57</v>
      </c>
      <c r="G9" s="1" t="s">
        <v>58</v>
      </c>
      <c r="H9" s="1" t="s">
        <v>59</v>
      </c>
      <c r="I9" s="1" t="s">
        <v>60</v>
      </c>
      <c r="J9" s="1" t="s">
        <v>61</v>
      </c>
      <c r="K9" s="1" t="s">
        <v>3</v>
      </c>
      <c r="L9" s="1" t="s">
        <v>62</v>
      </c>
      <c r="M9" s="1" t="s">
        <v>63</v>
      </c>
      <c r="N9" s="1" t="s">
        <v>64</v>
      </c>
      <c r="O9" s="1" t="s">
        <v>65</v>
      </c>
      <c r="P9" s="1" t="s">
        <v>66</v>
      </c>
      <c r="Q9" s="1" t="s">
        <v>67</v>
      </c>
      <c r="R9" s="1" t="s">
        <v>68</v>
      </c>
      <c r="S9" s="1" t="s">
        <v>69</v>
      </c>
    </row>
    <row r="10" spans="1:19" ht="60" customHeight="1">
      <c r="A10" s="2" t="s">
        <v>70</v>
      </c>
      <c r="B10" s="2" t="s">
        <v>71</v>
      </c>
      <c r="C10" s="2" t="s">
        <v>12</v>
      </c>
      <c r="D10" s="2" t="s">
        <v>72</v>
      </c>
      <c r="E10" s="2" t="s">
        <v>73</v>
      </c>
      <c r="F10" s="2" t="s">
        <v>74</v>
      </c>
      <c r="G10" s="2" t="s">
        <v>75</v>
      </c>
      <c r="H10" s="2" t="s">
        <v>76</v>
      </c>
      <c r="I10" s="2" t="s">
        <v>77</v>
      </c>
      <c r="J10" s="2" t="s">
        <v>78</v>
      </c>
      <c r="K10" s="2" t="s">
        <v>7</v>
      </c>
      <c r="L10" s="2" t="s">
        <v>79</v>
      </c>
      <c r="M10" s="2" t="s">
        <v>80</v>
      </c>
      <c r="N10" s="7">
        <v>46291</v>
      </c>
      <c r="O10" s="2" t="s">
        <v>81</v>
      </c>
      <c r="P10" s="2" t="s">
        <v>82</v>
      </c>
      <c r="Q10" s="2"/>
      <c r="R10" s="2" t="s">
        <v>83</v>
      </c>
      <c r="S10" s="2"/>
    </row>
    <row r="11" spans="1:19" ht="60" customHeight="1">
      <c r="A11" s="2" t="s">
        <v>84</v>
      </c>
      <c r="B11" s="2" t="s">
        <v>71</v>
      </c>
      <c r="C11" s="2" t="s">
        <v>12</v>
      </c>
      <c r="D11" s="2" t="s">
        <v>85</v>
      </c>
      <c r="E11" s="2" t="s">
        <v>86</v>
      </c>
      <c r="F11" s="2" t="s">
        <v>87</v>
      </c>
      <c r="G11" s="2" t="s">
        <v>88</v>
      </c>
      <c r="H11" s="2" t="s">
        <v>89</v>
      </c>
      <c r="I11" s="2" t="s">
        <v>90</v>
      </c>
      <c r="J11" s="2" t="s">
        <v>78</v>
      </c>
      <c r="K11" s="2" t="s">
        <v>7</v>
      </c>
      <c r="L11" s="2" t="s">
        <v>79</v>
      </c>
      <c r="M11" s="2" t="s">
        <v>91</v>
      </c>
      <c r="N11" s="7">
        <v>46291</v>
      </c>
      <c r="O11" s="2" t="s">
        <v>81</v>
      </c>
      <c r="P11" s="2" t="s">
        <v>92</v>
      </c>
      <c r="Q11" s="2"/>
      <c r="R11" s="2" t="s">
        <v>83</v>
      </c>
      <c r="S11" s="2"/>
    </row>
    <row r="12" spans="1:19" ht="60" customHeight="1">
      <c r="A12" s="2" t="s">
        <v>93</v>
      </c>
      <c r="B12" s="2" t="s">
        <v>71</v>
      </c>
      <c r="C12" s="2" t="s">
        <v>12</v>
      </c>
      <c r="D12" s="2" t="s">
        <v>94</v>
      </c>
      <c r="E12" s="2" t="s">
        <v>86</v>
      </c>
      <c r="F12" s="2" t="s">
        <v>95</v>
      </c>
      <c r="G12" s="2" t="s">
        <v>96</v>
      </c>
      <c r="H12" s="2" t="s">
        <v>97</v>
      </c>
      <c r="I12" s="2" t="s">
        <v>98</v>
      </c>
      <c r="J12" s="2" t="s">
        <v>78</v>
      </c>
      <c r="K12" s="2" t="s">
        <v>7</v>
      </c>
      <c r="L12" s="2" t="s">
        <v>79</v>
      </c>
      <c r="M12" s="2" t="s">
        <v>91</v>
      </c>
      <c r="N12" s="7">
        <v>46291</v>
      </c>
      <c r="O12" s="2" t="s">
        <v>81</v>
      </c>
      <c r="P12" s="2" t="s">
        <v>99</v>
      </c>
      <c r="Q12" s="2"/>
      <c r="R12" s="2" t="s">
        <v>83</v>
      </c>
      <c r="S12" s="2"/>
    </row>
    <row r="13" spans="1:19" ht="60" customHeight="1">
      <c r="A13" s="2" t="s">
        <v>100</v>
      </c>
      <c r="B13" s="2" t="s">
        <v>71</v>
      </c>
      <c r="C13" s="2" t="s">
        <v>12</v>
      </c>
      <c r="D13" s="2" t="s">
        <v>101</v>
      </c>
      <c r="E13" s="2" t="s">
        <v>86</v>
      </c>
      <c r="F13" s="2" t="s">
        <v>102</v>
      </c>
      <c r="G13" s="2" t="s">
        <v>103</v>
      </c>
      <c r="H13" s="2" t="s">
        <v>104</v>
      </c>
      <c r="I13" s="2" t="s">
        <v>105</v>
      </c>
      <c r="J13" s="2" t="s">
        <v>78</v>
      </c>
      <c r="K13" s="2" t="s">
        <v>7</v>
      </c>
      <c r="L13" s="2" t="s">
        <v>106</v>
      </c>
      <c r="M13" s="2" t="s">
        <v>91</v>
      </c>
      <c r="N13" s="7">
        <v>46291</v>
      </c>
      <c r="O13" s="2" t="s">
        <v>81</v>
      </c>
      <c r="P13" s="2" t="s">
        <v>82</v>
      </c>
      <c r="Q13" s="2"/>
      <c r="R13" s="2" t="s">
        <v>83</v>
      </c>
      <c r="S13" s="2"/>
    </row>
    <row r="14" spans="1:19" ht="60" customHeight="1">
      <c r="A14" s="2" t="s">
        <v>107</v>
      </c>
      <c r="B14" s="2" t="s">
        <v>71</v>
      </c>
      <c r="C14" s="2" t="s">
        <v>108</v>
      </c>
      <c r="D14" s="2" t="s">
        <v>109</v>
      </c>
      <c r="E14" s="2" t="s">
        <v>110</v>
      </c>
      <c r="F14" s="2" t="s">
        <v>111</v>
      </c>
      <c r="G14" s="2" t="s">
        <v>112</v>
      </c>
      <c r="H14" s="2" t="s">
        <v>113</v>
      </c>
      <c r="I14" s="2" t="s">
        <v>114</v>
      </c>
      <c r="J14" s="2" t="s">
        <v>78</v>
      </c>
      <c r="K14" s="2" t="s">
        <v>7</v>
      </c>
      <c r="L14" s="2" t="s">
        <v>79</v>
      </c>
      <c r="M14" s="2" t="s">
        <v>91</v>
      </c>
      <c r="N14" s="7">
        <v>46291</v>
      </c>
      <c r="O14" s="2" t="s">
        <v>115</v>
      </c>
      <c r="P14" s="2" t="s">
        <v>116</v>
      </c>
      <c r="Q14" s="2"/>
      <c r="R14" s="2" t="s">
        <v>83</v>
      </c>
      <c r="S14" s="2"/>
    </row>
    <row r="15" spans="1:19" ht="60" customHeight="1">
      <c r="A15" s="2" t="s">
        <v>117</v>
      </c>
      <c r="B15" s="2" t="s">
        <v>118</v>
      </c>
      <c r="C15" s="2" t="s">
        <v>12</v>
      </c>
      <c r="D15" s="2" t="s">
        <v>119</v>
      </c>
      <c r="E15" s="2" t="s">
        <v>120</v>
      </c>
      <c r="F15" s="2" t="s">
        <v>121</v>
      </c>
      <c r="G15" s="2" t="s">
        <v>122</v>
      </c>
      <c r="H15" s="2" t="s">
        <v>123</v>
      </c>
      <c r="I15" s="2" t="s">
        <v>124</v>
      </c>
      <c r="J15" s="2" t="s">
        <v>78</v>
      </c>
      <c r="K15" s="2" t="s">
        <v>7</v>
      </c>
      <c r="L15" s="2" t="s">
        <v>125</v>
      </c>
      <c r="M15" s="2" t="s">
        <v>126</v>
      </c>
      <c r="N15" s="7">
        <v>46291</v>
      </c>
      <c r="O15" s="2" t="s">
        <v>127</v>
      </c>
      <c r="P15" s="2" t="s">
        <v>128</v>
      </c>
      <c r="Q15" s="2"/>
      <c r="R15" s="2" t="s">
        <v>83</v>
      </c>
      <c r="S15" s="2"/>
    </row>
    <row r="16" spans="1:19" ht="60" customHeight="1">
      <c r="A16" s="2" t="s">
        <v>129</v>
      </c>
      <c r="B16" s="2" t="s">
        <v>118</v>
      </c>
      <c r="C16" s="2" t="s">
        <v>15</v>
      </c>
      <c r="D16" s="2" t="s">
        <v>130</v>
      </c>
      <c r="E16" s="2" t="s">
        <v>131</v>
      </c>
      <c r="F16" s="2" t="s">
        <v>132</v>
      </c>
      <c r="G16" s="2" t="s">
        <v>133</v>
      </c>
      <c r="H16" s="2" t="s">
        <v>134</v>
      </c>
      <c r="I16" s="2" t="s">
        <v>135</v>
      </c>
      <c r="J16" s="2" t="s">
        <v>78</v>
      </c>
      <c r="K16" s="2" t="s">
        <v>7</v>
      </c>
      <c r="L16" s="2" t="s">
        <v>125</v>
      </c>
      <c r="M16" s="2" t="s">
        <v>136</v>
      </c>
      <c r="N16" s="7">
        <v>46291</v>
      </c>
      <c r="O16" s="2" t="s">
        <v>127</v>
      </c>
      <c r="P16" s="2" t="s">
        <v>128</v>
      </c>
      <c r="Q16" s="2"/>
      <c r="R16" s="2" t="s">
        <v>83</v>
      </c>
      <c r="S16" s="2"/>
    </row>
    <row r="17" spans="1:19" ht="60" customHeight="1">
      <c r="A17" s="2" t="s">
        <v>137</v>
      </c>
      <c r="B17" s="2" t="s">
        <v>118</v>
      </c>
      <c r="C17" s="2" t="s">
        <v>15</v>
      </c>
      <c r="D17" s="2" t="s">
        <v>138</v>
      </c>
      <c r="E17" s="2" t="s">
        <v>131</v>
      </c>
      <c r="F17" s="2" t="s">
        <v>139</v>
      </c>
      <c r="G17" s="2" t="s">
        <v>140</v>
      </c>
      <c r="H17" s="2" t="s">
        <v>141</v>
      </c>
      <c r="I17" s="2" t="s">
        <v>142</v>
      </c>
      <c r="J17" s="2" t="s">
        <v>78</v>
      </c>
      <c r="K17" s="2" t="s">
        <v>7</v>
      </c>
      <c r="L17" s="2" t="s">
        <v>79</v>
      </c>
      <c r="M17" s="2" t="s">
        <v>136</v>
      </c>
      <c r="N17" s="7">
        <v>46291</v>
      </c>
      <c r="O17" s="2" t="s">
        <v>127</v>
      </c>
      <c r="P17" s="2" t="s">
        <v>143</v>
      </c>
      <c r="Q17" s="2"/>
      <c r="R17" s="2" t="s">
        <v>83</v>
      </c>
      <c r="S17" s="2"/>
    </row>
    <row r="18" spans="1:19" ht="60" customHeight="1">
      <c r="A18" s="2" t="s">
        <v>144</v>
      </c>
      <c r="B18" s="2" t="s">
        <v>118</v>
      </c>
      <c r="C18" s="2" t="s">
        <v>145</v>
      </c>
      <c r="D18" s="2" t="s">
        <v>146</v>
      </c>
      <c r="E18" s="2" t="s">
        <v>131</v>
      </c>
      <c r="F18" s="2" t="s">
        <v>147</v>
      </c>
      <c r="G18" s="2" t="s">
        <v>148</v>
      </c>
      <c r="H18" s="2" t="s">
        <v>149</v>
      </c>
      <c r="I18" s="2" t="s">
        <v>150</v>
      </c>
      <c r="J18" s="2" t="s">
        <v>78</v>
      </c>
      <c r="K18" s="2" t="s">
        <v>7</v>
      </c>
      <c r="L18" s="2" t="s">
        <v>79</v>
      </c>
      <c r="M18" s="2" t="s">
        <v>136</v>
      </c>
      <c r="N18" s="7">
        <v>46291</v>
      </c>
      <c r="O18" s="2" t="s">
        <v>127</v>
      </c>
      <c r="P18" s="2" t="s">
        <v>143</v>
      </c>
      <c r="Q18" s="2"/>
      <c r="R18" s="2" t="s">
        <v>83</v>
      </c>
      <c r="S18" s="2"/>
    </row>
    <row r="19" spans="1:19" ht="60" customHeight="1">
      <c r="A19" s="2" t="s">
        <v>151</v>
      </c>
      <c r="B19" s="2" t="s">
        <v>118</v>
      </c>
      <c r="C19" s="2" t="s">
        <v>145</v>
      </c>
      <c r="D19" s="2" t="s">
        <v>152</v>
      </c>
      <c r="E19" s="2" t="s">
        <v>131</v>
      </c>
      <c r="F19" s="2" t="s">
        <v>153</v>
      </c>
      <c r="G19" s="2" t="s">
        <v>154</v>
      </c>
      <c r="H19" s="2" t="s">
        <v>155</v>
      </c>
      <c r="I19" s="2" t="s">
        <v>156</v>
      </c>
      <c r="J19" s="2" t="s">
        <v>78</v>
      </c>
      <c r="K19" s="2" t="s">
        <v>7</v>
      </c>
      <c r="L19" s="2" t="s">
        <v>79</v>
      </c>
      <c r="M19" s="2" t="s">
        <v>136</v>
      </c>
      <c r="N19" s="7">
        <v>46291</v>
      </c>
      <c r="O19" s="2" t="s">
        <v>127</v>
      </c>
      <c r="P19" s="2" t="s">
        <v>143</v>
      </c>
      <c r="Q19" s="2"/>
      <c r="R19" s="2" t="s">
        <v>83</v>
      </c>
      <c r="S19" s="2"/>
    </row>
    <row r="20" spans="1:19" ht="60" customHeight="1">
      <c r="A20" s="2" t="s">
        <v>157</v>
      </c>
      <c r="B20" s="2" t="s">
        <v>118</v>
      </c>
      <c r="C20" s="2" t="s">
        <v>15</v>
      </c>
      <c r="D20" s="2" t="s">
        <v>158</v>
      </c>
      <c r="E20" s="2" t="s">
        <v>159</v>
      </c>
      <c r="F20" s="2" t="s">
        <v>160</v>
      </c>
      <c r="G20" s="2" t="s">
        <v>161</v>
      </c>
      <c r="H20" s="2" t="s">
        <v>162</v>
      </c>
      <c r="I20" s="2" t="s">
        <v>163</v>
      </c>
      <c r="J20" s="2" t="s">
        <v>78</v>
      </c>
      <c r="K20" s="2" t="s">
        <v>7</v>
      </c>
      <c r="L20" s="2" t="s">
        <v>125</v>
      </c>
      <c r="M20" s="2" t="s">
        <v>126</v>
      </c>
      <c r="N20" s="7">
        <v>46291</v>
      </c>
      <c r="O20" s="2" t="s">
        <v>164</v>
      </c>
      <c r="P20" s="2" t="s">
        <v>165</v>
      </c>
      <c r="Q20" s="2"/>
      <c r="R20" s="2" t="s">
        <v>83</v>
      </c>
      <c r="S20" s="2"/>
    </row>
    <row r="21" spans="1:19" ht="60" customHeight="1">
      <c r="A21" s="2" t="s">
        <v>166</v>
      </c>
      <c r="B21" s="2" t="s">
        <v>118</v>
      </c>
      <c r="C21" s="2" t="s">
        <v>18</v>
      </c>
      <c r="D21" s="2" t="s">
        <v>167</v>
      </c>
      <c r="E21" s="2" t="s">
        <v>131</v>
      </c>
      <c r="F21" s="2" t="s">
        <v>168</v>
      </c>
      <c r="G21" s="2" t="s">
        <v>169</v>
      </c>
      <c r="H21" s="2" t="s">
        <v>170</v>
      </c>
      <c r="I21" s="2" t="s">
        <v>171</v>
      </c>
      <c r="J21" s="2" t="s">
        <v>78</v>
      </c>
      <c r="K21" s="2" t="s">
        <v>7</v>
      </c>
      <c r="L21" s="2" t="s">
        <v>79</v>
      </c>
      <c r="M21" s="2" t="s">
        <v>136</v>
      </c>
      <c r="N21" s="7">
        <v>46292</v>
      </c>
      <c r="O21" s="2" t="s">
        <v>172</v>
      </c>
      <c r="P21" s="2" t="s">
        <v>173</v>
      </c>
      <c r="Q21" s="2"/>
      <c r="R21" s="2" t="s">
        <v>83</v>
      </c>
      <c r="S21" s="2"/>
    </row>
    <row r="22" spans="1:19" ht="60" customHeight="1">
      <c r="A22" s="2" t="s">
        <v>174</v>
      </c>
      <c r="B22" s="2" t="s">
        <v>118</v>
      </c>
      <c r="C22" s="2" t="s">
        <v>175</v>
      </c>
      <c r="D22" s="2" t="s">
        <v>176</v>
      </c>
      <c r="E22" s="2" t="s">
        <v>131</v>
      </c>
      <c r="F22" s="2" t="s">
        <v>177</v>
      </c>
      <c r="G22" s="2" t="s">
        <v>178</v>
      </c>
      <c r="H22" s="2" t="s">
        <v>179</v>
      </c>
      <c r="I22" s="2" t="s">
        <v>180</v>
      </c>
      <c r="J22" s="2" t="s">
        <v>78</v>
      </c>
      <c r="K22" s="2" t="s">
        <v>7</v>
      </c>
      <c r="L22" s="2" t="s">
        <v>79</v>
      </c>
      <c r="M22" s="2" t="s">
        <v>136</v>
      </c>
      <c r="N22" s="7">
        <v>46292</v>
      </c>
      <c r="O22" s="2" t="s">
        <v>172</v>
      </c>
      <c r="P22" s="2" t="s">
        <v>173</v>
      </c>
      <c r="Q22" s="2"/>
      <c r="R22" s="2" t="s">
        <v>83</v>
      </c>
      <c r="S22" s="2"/>
    </row>
    <row r="23" spans="1:19" ht="60" customHeight="1">
      <c r="A23" s="2" t="s">
        <v>181</v>
      </c>
      <c r="B23" s="2" t="s">
        <v>182</v>
      </c>
      <c r="C23" s="2" t="s">
        <v>12</v>
      </c>
      <c r="D23" s="2" t="s">
        <v>183</v>
      </c>
      <c r="E23" s="2" t="s">
        <v>184</v>
      </c>
      <c r="F23" s="2" t="s">
        <v>185</v>
      </c>
      <c r="G23" s="2" t="s">
        <v>186</v>
      </c>
      <c r="H23" s="2" t="s">
        <v>187</v>
      </c>
      <c r="I23" s="2" t="s">
        <v>188</v>
      </c>
      <c r="J23" s="2" t="s">
        <v>78</v>
      </c>
      <c r="K23" s="2" t="s">
        <v>7</v>
      </c>
      <c r="L23" s="2" t="s">
        <v>125</v>
      </c>
      <c r="M23" s="2" t="s">
        <v>126</v>
      </c>
      <c r="N23" s="7">
        <v>46292</v>
      </c>
      <c r="O23" s="2" t="s">
        <v>189</v>
      </c>
      <c r="P23" s="2" t="s">
        <v>190</v>
      </c>
      <c r="Q23" s="2"/>
      <c r="R23" s="2" t="s">
        <v>83</v>
      </c>
      <c r="S23" s="2"/>
    </row>
    <row r="24" spans="1:19" ht="60" customHeight="1">
      <c r="A24" s="2" t="s">
        <v>191</v>
      </c>
      <c r="B24" s="2" t="s">
        <v>182</v>
      </c>
      <c r="C24" s="2" t="s">
        <v>12</v>
      </c>
      <c r="D24" s="2" t="s">
        <v>192</v>
      </c>
      <c r="E24" s="2" t="s">
        <v>193</v>
      </c>
      <c r="F24" s="2" t="s">
        <v>194</v>
      </c>
      <c r="G24" s="2" t="s">
        <v>195</v>
      </c>
      <c r="H24" s="2" t="s">
        <v>196</v>
      </c>
      <c r="I24" s="2" t="s">
        <v>197</v>
      </c>
      <c r="J24" s="2" t="s">
        <v>78</v>
      </c>
      <c r="K24" s="2" t="s">
        <v>7</v>
      </c>
      <c r="L24" s="2" t="s">
        <v>125</v>
      </c>
      <c r="M24" s="2" t="s">
        <v>126</v>
      </c>
      <c r="N24" s="7">
        <v>46292</v>
      </c>
      <c r="O24" s="2" t="s">
        <v>189</v>
      </c>
      <c r="P24" s="2" t="s">
        <v>198</v>
      </c>
      <c r="Q24" s="2"/>
      <c r="R24" s="2" t="s">
        <v>83</v>
      </c>
      <c r="S24" s="2"/>
    </row>
    <row r="25" spans="1:19" ht="60" customHeight="1">
      <c r="A25" s="2" t="s">
        <v>199</v>
      </c>
      <c r="B25" s="2" t="s">
        <v>182</v>
      </c>
      <c r="C25" s="2" t="s">
        <v>15</v>
      </c>
      <c r="D25" s="2" t="s">
        <v>200</v>
      </c>
      <c r="E25" s="2" t="s">
        <v>201</v>
      </c>
      <c r="F25" s="2" t="s">
        <v>202</v>
      </c>
      <c r="G25" s="2" t="s">
        <v>203</v>
      </c>
      <c r="H25" s="2" t="s">
        <v>204</v>
      </c>
      <c r="I25" s="2" t="s">
        <v>205</v>
      </c>
      <c r="J25" s="2" t="s">
        <v>78</v>
      </c>
      <c r="K25" s="2" t="s">
        <v>7</v>
      </c>
      <c r="L25" s="2" t="s">
        <v>79</v>
      </c>
      <c r="M25" s="2" t="s">
        <v>136</v>
      </c>
      <c r="N25" s="7">
        <v>46292</v>
      </c>
      <c r="O25" s="2" t="s">
        <v>189</v>
      </c>
      <c r="P25" s="2" t="s">
        <v>206</v>
      </c>
      <c r="Q25" s="2"/>
      <c r="R25" s="2" t="s">
        <v>83</v>
      </c>
      <c r="S25" s="2"/>
    </row>
    <row r="26" spans="1:19" ht="60" customHeight="1">
      <c r="A26" s="2" t="s">
        <v>207</v>
      </c>
      <c r="B26" s="2" t="s">
        <v>182</v>
      </c>
      <c r="C26" s="2" t="s">
        <v>12</v>
      </c>
      <c r="D26" s="2" t="s">
        <v>208</v>
      </c>
      <c r="E26" s="2" t="s">
        <v>209</v>
      </c>
      <c r="F26" s="2" t="s">
        <v>210</v>
      </c>
      <c r="G26" s="2" t="s">
        <v>211</v>
      </c>
      <c r="H26" s="2" t="s">
        <v>212</v>
      </c>
      <c r="I26" s="2" t="s">
        <v>213</v>
      </c>
      <c r="J26" s="2" t="s">
        <v>78</v>
      </c>
      <c r="K26" s="2" t="s">
        <v>7</v>
      </c>
      <c r="L26" s="2" t="s">
        <v>79</v>
      </c>
      <c r="M26" s="2" t="s">
        <v>126</v>
      </c>
      <c r="N26" s="7">
        <v>46292</v>
      </c>
      <c r="O26" s="2" t="s">
        <v>189</v>
      </c>
      <c r="P26" s="2" t="s">
        <v>128</v>
      </c>
      <c r="Q26" s="2"/>
      <c r="R26" s="2" t="s">
        <v>83</v>
      </c>
      <c r="S26" s="2"/>
    </row>
    <row r="27" spans="1:19" ht="60" customHeight="1">
      <c r="A27" s="2" t="s">
        <v>214</v>
      </c>
      <c r="B27" s="2" t="s">
        <v>215</v>
      </c>
      <c r="C27" s="2" t="s">
        <v>12</v>
      </c>
      <c r="D27" s="2" t="s">
        <v>216</v>
      </c>
      <c r="E27" s="2" t="s">
        <v>217</v>
      </c>
      <c r="F27" s="2" t="s">
        <v>218</v>
      </c>
      <c r="G27" s="2" t="s">
        <v>219</v>
      </c>
      <c r="H27" s="2" t="s">
        <v>220</v>
      </c>
      <c r="I27" s="2" t="s">
        <v>221</v>
      </c>
      <c r="J27" s="2" t="s">
        <v>78</v>
      </c>
      <c r="K27" s="2" t="s">
        <v>7</v>
      </c>
      <c r="L27" s="2" t="s">
        <v>125</v>
      </c>
      <c r="M27" s="2" t="s">
        <v>136</v>
      </c>
      <c r="N27" s="7">
        <v>46292</v>
      </c>
      <c r="O27" s="2" t="s">
        <v>222</v>
      </c>
      <c r="P27" s="2" t="s">
        <v>198</v>
      </c>
      <c r="Q27" s="2"/>
      <c r="R27" s="2" t="s">
        <v>83</v>
      </c>
      <c r="S27" s="2"/>
    </row>
    <row r="28" spans="1:19" ht="60" customHeight="1">
      <c r="A28" s="2" t="s">
        <v>223</v>
      </c>
      <c r="B28" s="2" t="s">
        <v>215</v>
      </c>
      <c r="C28" s="2" t="s">
        <v>15</v>
      </c>
      <c r="D28" s="2" t="s">
        <v>224</v>
      </c>
      <c r="E28" s="2" t="s">
        <v>217</v>
      </c>
      <c r="F28" s="2" t="s">
        <v>225</v>
      </c>
      <c r="G28" s="2" t="s">
        <v>226</v>
      </c>
      <c r="H28" s="2" t="s">
        <v>227</v>
      </c>
      <c r="I28" s="2" t="s">
        <v>228</v>
      </c>
      <c r="J28" s="2" t="s">
        <v>78</v>
      </c>
      <c r="K28" s="2" t="s">
        <v>7</v>
      </c>
      <c r="L28" s="2" t="s">
        <v>125</v>
      </c>
      <c r="M28" s="2" t="s">
        <v>136</v>
      </c>
      <c r="N28" s="7">
        <v>46292</v>
      </c>
      <c r="O28" s="2" t="s">
        <v>222</v>
      </c>
      <c r="P28" s="2" t="s">
        <v>198</v>
      </c>
      <c r="Q28" s="2"/>
      <c r="R28" s="2" t="s">
        <v>83</v>
      </c>
      <c r="S28" s="2"/>
    </row>
    <row r="29" spans="1:19" ht="60" customHeight="1">
      <c r="A29" s="2" t="s">
        <v>229</v>
      </c>
      <c r="B29" s="2" t="s">
        <v>215</v>
      </c>
      <c r="C29" s="2" t="s">
        <v>15</v>
      </c>
      <c r="D29" s="2" t="s">
        <v>230</v>
      </c>
      <c r="E29" s="2" t="s">
        <v>231</v>
      </c>
      <c r="F29" s="2" t="s">
        <v>120</v>
      </c>
      <c r="G29" s="2" t="s">
        <v>226</v>
      </c>
      <c r="H29" s="2" t="s">
        <v>232</v>
      </c>
      <c r="I29" s="2" t="s">
        <v>233</v>
      </c>
      <c r="J29" s="2" t="s">
        <v>78</v>
      </c>
      <c r="K29" s="2" t="s">
        <v>7</v>
      </c>
      <c r="L29" s="2" t="s">
        <v>79</v>
      </c>
      <c r="M29" s="2" t="s">
        <v>136</v>
      </c>
      <c r="N29" s="7">
        <v>46292</v>
      </c>
      <c r="O29" s="2" t="s">
        <v>234</v>
      </c>
      <c r="P29" s="2" t="s">
        <v>206</v>
      </c>
      <c r="Q29" s="2"/>
      <c r="R29" s="2" t="s">
        <v>83</v>
      </c>
      <c r="S29" s="2"/>
    </row>
    <row r="30" spans="1:19" ht="60" customHeight="1">
      <c r="A30" s="2" t="s">
        <v>235</v>
      </c>
      <c r="B30" s="2" t="s">
        <v>215</v>
      </c>
      <c r="C30" s="2" t="s">
        <v>15</v>
      </c>
      <c r="D30" s="2" t="s">
        <v>236</v>
      </c>
      <c r="E30" s="2" t="s">
        <v>237</v>
      </c>
      <c r="F30" s="2" t="s">
        <v>238</v>
      </c>
      <c r="G30" s="2" t="s">
        <v>226</v>
      </c>
      <c r="H30" s="2" t="s">
        <v>239</v>
      </c>
      <c r="I30" s="2" t="s">
        <v>240</v>
      </c>
      <c r="J30" s="2" t="s">
        <v>78</v>
      </c>
      <c r="K30" s="2" t="s">
        <v>7</v>
      </c>
      <c r="L30" s="2" t="s">
        <v>125</v>
      </c>
      <c r="M30" s="2" t="s">
        <v>136</v>
      </c>
      <c r="N30" s="7">
        <v>46292</v>
      </c>
      <c r="O30" s="2" t="s">
        <v>222</v>
      </c>
      <c r="P30" s="2" t="s">
        <v>190</v>
      </c>
      <c r="Q30" s="2"/>
      <c r="R30" s="2" t="s">
        <v>83</v>
      </c>
      <c r="S30" s="2"/>
    </row>
    <row r="31" spans="1:19" ht="60" customHeight="1">
      <c r="A31" s="2" t="s">
        <v>241</v>
      </c>
      <c r="B31" s="2" t="s">
        <v>215</v>
      </c>
      <c r="C31" s="2" t="s">
        <v>18</v>
      </c>
      <c r="D31" s="2" t="s">
        <v>242</v>
      </c>
      <c r="E31" s="2" t="s">
        <v>243</v>
      </c>
      <c r="F31" s="2" t="s">
        <v>244</v>
      </c>
      <c r="G31" s="2" t="s">
        <v>245</v>
      </c>
      <c r="H31" s="2" t="s">
        <v>246</v>
      </c>
      <c r="I31" s="2" t="s">
        <v>247</v>
      </c>
      <c r="J31" s="2" t="s">
        <v>78</v>
      </c>
      <c r="K31" s="2" t="s">
        <v>7</v>
      </c>
      <c r="L31" s="2" t="s">
        <v>79</v>
      </c>
      <c r="M31" s="2" t="s">
        <v>248</v>
      </c>
      <c r="N31" s="7">
        <v>46292</v>
      </c>
      <c r="O31" s="2" t="s">
        <v>189</v>
      </c>
      <c r="P31" s="2" t="s">
        <v>190</v>
      </c>
      <c r="Q31" s="2"/>
      <c r="R31" s="2" t="s">
        <v>83</v>
      </c>
      <c r="S31" s="2"/>
    </row>
    <row r="32" spans="1:19" ht="60" customHeight="1">
      <c r="A32" s="2" t="s">
        <v>249</v>
      </c>
      <c r="B32" s="2" t="s">
        <v>250</v>
      </c>
      <c r="C32" s="2" t="s">
        <v>12</v>
      </c>
      <c r="D32" s="2" t="s">
        <v>251</v>
      </c>
      <c r="E32" s="2" t="s">
        <v>252</v>
      </c>
      <c r="F32" s="2" t="s">
        <v>253</v>
      </c>
      <c r="G32" s="2" t="s">
        <v>254</v>
      </c>
      <c r="H32" s="2" t="s">
        <v>255</v>
      </c>
      <c r="I32" s="2" t="s">
        <v>256</v>
      </c>
      <c r="J32" s="2" t="s">
        <v>78</v>
      </c>
      <c r="K32" s="2" t="s">
        <v>7</v>
      </c>
      <c r="L32" s="2" t="s">
        <v>125</v>
      </c>
      <c r="M32" s="2" t="s">
        <v>248</v>
      </c>
      <c r="N32" s="7">
        <v>46292</v>
      </c>
      <c r="O32" s="2" t="s">
        <v>222</v>
      </c>
      <c r="P32" s="2" t="s">
        <v>257</v>
      </c>
      <c r="Q32" s="2"/>
      <c r="R32" s="2" t="s">
        <v>83</v>
      </c>
      <c r="S32" s="2"/>
    </row>
    <row r="33" spans="1:19" ht="60" customHeight="1">
      <c r="A33" s="2" t="s">
        <v>258</v>
      </c>
      <c r="B33" s="2" t="s">
        <v>250</v>
      </c>
      <c r="C33" s="2" t="s">
        <v>175</v>
      </c>
      <c r="D33" s="2" t="s">
        <v>259</v>
      </c>
      <c r="E33" s="2" t="s">
        <v>260</v>
      </c>
      <c r="F33" s="2" t="s">
        <v>261</v>
      </c>
      <c r="G33" s="2" t="s">
        <v>262</v>
      </c>
      <c r="H33" s="2" t="s">
        <v>263</v>
      </c>
      <c r="I33" s="2" t="s">
        <v>264</v>
      </c>
      <c r="J33" s="2" t="s">
        <v>78</v>
      </c>
      <c r="K33" s="2" t="s">
        <v>7</v>
      </c>
      <c r="L33" s="2" t="s">
        <v>125</v>
      </c>
      <c r="M33" s="2" t="s">
        <v>248</v>
      </c>
      <c r="N33" s="7">
        <v>46292</v>
      </c>
      <c r="O33" s="2" t="s">
        <v>222</v>
      </c>
      <c r="P33" s="2" t="s">
        <v>257</v>
      </c>
      <c r="Q33" s="2"/>
      <c r="R33" s="2" t="s">
        <v>83</v>
      </c>
      <c r="S33" s="2"/>
    </row>
    <row r="34" spans="1:19" ht="60" customHeight="1">
      <c r="A34" s="2" t="s">
        <v>265</v>
      </c>
      <c r="B34" s="2" t="s">
        <v>250</v>
      </c>
      <c r="C34" s="2" t="s">
        <v>108</v>
      </c>
      <c r="D34" s="2" t="s">
        <v>266</v>
      </c>
      <c r="E34" s="2" t="s">
        <v>252</v>
      </c>
      <c r="F34" s="2" t="s">
        <v>267</v>
      </c>
      <c r="G34" s="2" t="s">
        <v>268</v>
      </c>
      <c r="H34" s="2" t="s">
        <v>269</v>
      </c>
      <c r="I34" s="2" t="s">
        <v>270</v>
      </c>
      <c r="J34" s="2" t="s">
        <v>78</v>
      </c>
      <c r="K34" s="2" t="s">
        <v>7</v>
      </c>
      <c r="L34" s="2" t="s">
        <v>106</v>
      </c>
      <c r="M34" s="2" t="s">
        <v>91</v>
      </c>
      <c r="N34" s="7">
        <v>46292</v>
      </c>
      <c r="O34" s="2" t="s">
        <v>222</v>
      </c>
      <c r="P34" s="2" t="s">
        <v>271</v>
      </c>
      <c r="Q34" s="2"/>
      <c r="R34" s="2" t="s">
        <v>83</v>
      </c>
      <c r="S34" s="2"/>
    </row>
    <row r="35" spans="1:19" ht="60" customHeight="1">
      <c r="A35" s="2" t="s">
        <v>272</v>
      </c>
      <c r="B35" s="2" t="s">
        <v>273</v>
      </c>
      <c r="C35" s="2" t="s">
        <v>12</v>
      </c>
      <c r="D35" s="2" t="s">
        <v>274</v>
      </c>
      <c r="E35" s="2" t="s">
        <v>217</v>
      </c>
      <c r="F35" s="2" t="s">
        <v>210</v>
      </c>
      <c r="G35" s="2" t="s">
        <v>275</v>
      </c>
      <c r="H35" s="2" t="s">
        <v>276</v>
      </c>
      <c r="I35" s="2" t="s">
        <v>277</v>
      </c>
      <c r="J35" s="2" t="s">
        <v>78</v>
      </c>
      <c r="K35" s="2" t="s">
        <v>7</v>
      </c>
      <c r="L35" s="2" t="s">
        <v>79</v>
      </c>
      <c r="M35" s="2" t="s">
        <v>126</v>
      </c>
      <c r="N35" s="7">
        <v>46292</v>
      </c>
      <c r="O35" s="2" t="s">
        <v>278</v>
      </c>
      <c r="P35" s="2" t="s">
        <v>279</v>
      </c>
      <c r="Q35" s="2"/>
      <c r="R35" s="2" t="s">
        <v>83</v>
      </c>
      <c r="S35" s="2"/>
    </row>
    <row r="36" spans="1:19" ht="60" customHeight="1">
      <c r="A36" s="2" t="s">
        <v>280</v>
      </c>
      <c r="B36" s="2" t="s">
        <v>273</v>
      </c>
      <c r="C36" s="2" t="s">
        <v>175</v>
      </c>
      <c r="D36" s="2" t="s">
        <v>281</v>
      </c>
      <c r="E36" s="2" t="s">
        <v>282</v>
      </c>
      <c r="F36" s="2" t="s">
        <v>120</v>
      </c>
      <c r="G36" s="2" t="s">
        <v>275</v>
      </c>
      <c r="H36" s="2" t="s">
        <v>283</v>
      </c>
      <c r="I36" s="2" t="s">
        <v>284</v>
      </c>
      <c r="J36" s="2" t="s">
        <v>78</v>
      </c>
      <c r="K36" s="2" t="s">
        <v>7</v>
      </c>
      <c r="L36" s="2" t="s">
        <v>79</v>
      </c>
      <c r="M36" s="2" t="s">
        <v>136</v>
      </c>
      <c r="N36" s="7">
        <v>46292</v>
      </c>
      <c r="O36" s="2" t="s">
        <v>234</v>
      </c>
      <c r="P36" s="2" t="s">
        <v>206</v>
      </c>
      <c r="Q36" s="2"/>
      <c r="R36" s="2" t="s">
        <v>83</v>
      </c>
      <c r="S36" s="2"/>
    </row>
    <row r="37" spans="1:19" ht="60" customHeight="1">
      <c r="A37" s="2" t="s">
        <v>285</v>
      </c>
      <c r="B37" s="2" t="s">
        <v>273</v>
      </c>
      <c r="C37" s="2" t="s">
        <v>12</v>
      </c>
      <c r="D37" s="2" t="s">
        <v>286</v>
      </c>
      <c r="E37" s="2" t="s">
        <v>287</v>
      </c>
      <c r="F37" s="2" t="s">
        <v>288</v>
      </c>
      <c r="G37" s="2" t="s">
        <v>289</v>
      </c>
      <c r="H37" s="2" t="s">
        <v>290</v>
      </c>
      <c r="I37" s="2" t="s">
        <v>291</v>
      </c>
      <c r="J37" s="2" t="s">
        <v>78</v>
      </c>
      <c r="K37" s="2" t="s">
        <v>292</v>
      </c>
      <c r="L37" s="2" t="s">
        <v>79</v>
      </c>
      <c r="M37" s="2" t="s">
        <v>126</v>
      </c>
      <c r="N37" s="7">
        <v>46293</v>
      </c>
      <c r="O37" s="2" t="s">
        <v>278</v>
      </c>
      <c r="P37" s="2" t="s">
        <v>279</v>
      </c>
      <c r="Q37" s="2" t="s">
        <v>293</v>
      </c>
      <c r="R37" s="2" t="s">
        <v>9</v>
      </c>
      <c r="S37" s="2" t="s">
        <v>294</v>
      </c>
    </row>
    <row r="38" spans="1:19" ht="60" customHeight="1">
      <c r="A38" s="2" t="s">
        <v>295</v>
      </c>
      <c r="B38" s="2" t="s">
        <v>273</v>
      </c>
      <c r="C38" s="2" t="s">
        <v>15</v>
      </c>
      <c r="D38" s="2" t="s">
        <v>296</v>
      </c>
      <c r="E38" s="2" t="s">
        <v>297</v>
      </c>
      <c r="F38" s="2" t="s">
        <v>202</v>
      </c>
      <c r="G38" s="2" t="s">
        <v>298</v>
      </c>
      <c r="H38" s="2" t="s">
        <v>299</v>
      </c>
      <c r="I38" s="2" t="s">
        <v>300</v>
      </c>
      <c r="J38" s="2" t="s">
        <v>78</v>
      </c>
      <c r="K38" s="2" t="s">
        <v>7</v>
      </c>
      <c r="L38" s="2" t="s">
        <v>79</v>
      </c>
      <c r="M38" s="2" t="s">
        <v>136</v>
      </c>
      <c r="N38" s="7">
        <v>46293</v>
      </c>
      <c r="O38" s="2" t="s">
        <v>278</v>
      </c>
      <c r="P38" s="2" t="s">
        <v>279</v>
      </c>
      <c r="Q38" s="2"/>
      <c r="R38" s="2" t="s">
        <v>83</v>
      </c>
      <c r="S38" s="2"/>
    </row>
    <row r="39" spans="1:19" ht="60" customHeight="1">
      <c r="A39" s="2" t="s">
        <v>301</v>
      </c>
      <c r="B39" s="2" t="s">
        <v>273</v>
      </c>
      <c r="C39" s="2" t="s">
        <v>18</v>
      </c>
      <c r="D39" s="2" t="s">
        <v>302</v>
      </c>
      <c r="E39" s="2" t="s">
        <v>303</v>
      </c>
      <c r="F39" s="2" t="s">
        <v>304</v>
      </c>
      <c r="G39" s="2" t="s">
        <v>305</v>
      </c>
      <c r="H39" s="2" t="s">
        <v>306</v>
      </c>
      <c r="I39" s="2" t="s">
        <v>307</v>
      </c>
      <c r="J39" s="2" t="s">
        <v>78</v>
      </c>
      <c r="K39" s="2" t="s">
        <v>7</v>
      </c>
      <c r="L39" s="2" t="s">
        <v>79</v>
      </c>
      <c r="M39" s="2" t="s">
        <v>136</v>
      </c>
      <c r="N39" s="7">
        <v>46293</v>
      </c>
      <c r="O39" s="2" t="s">
        <v>278</v>
      </c>
      <c r="P39" s="2" t="s">
        <v>279</v>
      </c>
      <c r="Q39" s="2"/>
      <c r="R39" s="2" t="s">
        <v>83</v>
      </c>
      <c r="S39" s="2"/>
    </row>
    <row r="40" spans="1:19" ht="60" customHeight="1">
      <c r="A40" s="2" t="s">
        <v>308</v>
      </c>
      <c r="B40" s="2" t="s">
        <v>309</v>
      </c>
      <c r="C40" s="2" t="s">
        <v>12</v>
      </c>
      <c r="D40" s="2" t="s">
        <v>310</v>
      </c>
      <c r="E40" s="2" t="s">
        <v>252</v>
      </c>
      <c r="F40" s="2" t="s">
        <v>311</v>
      </c>
      <c r="G40" s="2" t="s">
        <v>312</v>
      </c>
      <c r="H40" s="2" t="s">
        <v>313</v>
      </c>
      <c r="I40" s="2" t="s">
        <v>314</v>
      </c>
      <c r="J40" s="2" t="s">
        <v>78</v>
      </c>
      <c r="K40" s="2" t="s">
        <v>7</v>
      </c>
      <c r="L40" s="2" t="s">
        <v>79</v>
      </c>
      <c r="M40" s="2" t="s">
        <v>126</v>
      </c>
      <c r="N40" s="7">
        <v>46293</v>
      </c>
      <c r="O40" s="2" t="s">
        <v>315</v>
      </c>
      <c r="P40" s="2" t="s">
        <v>316</v>
      </c>
      <c r="Q40" s="2"/>
      <c r="R40" s="2" t="s">
        <v>83</v>
      </c>
      <c r="S40" s="2"/>
    </row>
    <row r="41" spans="1:19" ht="60" customHeight="1">
      <c r="A41" s="2" t="s">
        <v>317</v>
      </c>
      <c r="B41" s="2" t="s">
        <v>309</v>
      </c>
      <c r="C41" s="2" t="s">
        <v>12</v>
      </c>
      <c r="D41" s="2" t="s">
        <v>318</v>
      </c>
      <c r="E41" s="2" t="s">
        <v>252</v>
      </c>
      <c r="F41" s="2" t="s">
        <v>319</v>
      </c>
      <c r="G41" s="2" t="s">
        <v>320</v>
      </c>
      <c r="H41" s="2" t="s">
        <v>321</v>
      </c>
      <c r="I41" s="2" t="s">
        <v>322</v>
      </c>
      <c r="J41" s="2" t="s">
        <v>78</v>
      </c>
      <c r="K41" s="2" t="s">
        <v>7</v>
      </c>
      <c r="L41" s="2" t="s">
        <v>79</v>
      </c>
      <c r="M41" s="2" t="s">
        <v>126</v>
      </c>
      <c r="N41" s="7">
        <v>46293</v>
      </c>
      <c r="O41" s="2" t="s">
        <v>315</v>
      </c>
      <c r="P41" s="2" t="s">
        <v>323</v>
      </c>
      <c r="Q41" s="2"/>
      <c r="R41" s="2" t="s">
        <v>83</v>
      </c>
      <c r="S41" s="2"/>
    </row>
    <row r="42" spans="1:19" ht="60" customHeight="1">
      <c r="A42" s="2" t="s">
        <v>324</v>
      </c>
      <c r="B42" s="2" t="s">
        <v>309</v>
      </c>
      <c r="C42" s="2" t="s">
        <v>15</v>
      </c>
      <c r="D42" s="2" t="s">
        <v>325</v>
      </c>
      <c r="E42" s="2" t="s">
        <v>252</v>
      </c>
      <c r="F42" s="2" t="s">
        <v>153</v>
      </c>
      <c r="G42" s="2" t="s">
        <v>326</v>
      </c>
      <c r="H42" s="2" t="s">
        <v>327</v>
      </c>
      <c r="I42" s="2" t="s">
        <v>328</v>
      </c>
      <c r="J42" s="2" t="s">
        <v>78</v>
      </c>
      <c r="K42" s="2" t="s">
        <v>7</v>
      </c>
      <c r="L42" s="2" t="s">
        <v>79</v>
      </c>
      <c r="M42" s="2" t="s">
        <v>136</v>
      </c>
      <c r="N42" s="7">
        <v>46293</v>
      </c>
      <c r="O42" s="2" t="s">
        <v>315</v>
      </c>
      <c r="P42" s="2" t="s">
        <v>316</v>
      </c>
      <c r="Q42" s="2"/>
      <c r="R42" s="2" t="s">
        <v>83</v>
      </c>
      <c r="S42" s="2"/>
    </row>
    <row r="43" spans="1:19" ht="60" customHeight="1">
      <c r="A43" s="2" t="s">
        <v>329</v>
      </c>
      <c r="B43" s="2" t="s">
        <v>309</v>
      </c>
      <c r="C43" s="2" t="s">
        <v>175</v>
      </c>
      <c r="D43" s="2" t="s">
        <v>330</v>
      </c>
      <c r="E43" s="2" t="s">
        <v>331</v>
      </c>
      <c r="F43" s="2" t="s">
        <v>332</v>
      </c>
      <c r="G43" s="2" t="s">
        <v>333</v>
      </c>
      <c r="H43" s="2" t="s">
        <v>334</v>
      </c>
      <c r="I43" s="2" t="s">
        <v>335</v>
      </c>
      <c r="J43" s="2" t="s">
        <v>78</v>
      </c>
      <c r="K43" s="2" t="s">
        <v>7</v>
      </c>
      <c r="L43" s="2" t="s">
        <v>125</v>
      </c>
      <c r="M43" s="2" t="s">
        <v>248</v>
      </c>
      <c r="N43" s="7">
        <v>46293</v>
      </c>
      <c r="O43" s="2" t="s">
        <v>336</v>
      </c>
      <c r="P43" s="2" t="s">
        <v>337</v>
      </c>
      <c r="Q43" s="2"/>
      <c r="R43" s="2" t="s">
        <v>83</v>
      </c>
      <c r="S43" s="2"/>
    </row>
    <row r="44" spans="1:19" ht="60" customHeight="1">
      <c r="A44" s="2" t="s">
        <v>338</v>
      </c>
      <c r="B44" s="2" t="s">
        <v>339</v>
      </c>
      <c r="C44" s="2" t="s">
        <v>18</v>
      </c>
      <c r="D44" s="2" t="s">
        <v>340</v>
      </c>
      <c r="E44" s="2" t="s">
        <v>341</v>
      </c>
      <c r="F44" s="2" t="s">
        <v>342</v>
      </c>
      <c r="G44" s="2" t="s">
        <v>343</v>
      </c>
      <c r="H44" s="2" t="s">
        <v>344</v>
      </c>
      <c r="I44" s="2" t="s">
        <v>345</v>
      </c>
      <c r="J44" s="2" t="s">
        <v>78</v>
      </c>
      <c r="K44" s="2" t="s">
        <v>292</v>
      </c>
      <c r="L44" s="2" t="s">
        <v>125</v>
      </c>
      <c r="M44" s="2" t="s">
        <v>248</v>
      </c>
      <c r="N44" s="7">
        <v>46293</v>
      </c>
      <c r="O44" s="2" t="s">
        <v>336</v>
      </c>
      <c r="P44" s="2" t="s">
        <v>271</v>
      </c>
      <c r="Q44" s="2" t="s">
        <v>346</v>
      </c>
      <c r="R44" s="2" t="s">
        <v>9</v>
      </c>
      <c r="S44" s="2" t="s">
        <v>347</v>
      </c>
    </row>
    <row r="45" spans="1:19" ht="60" customHeight="1">
      <c r="A45" s="2" t="s">
        <v>348</v>
      </c>
      <c r="B45" s="2" t="s">
        <v>339</v>
      </c>
      <c r="C45" s="2" t="s">
        <v>175</v>
      </c>
      <c r="D45" s="2" t="s">
        <v>349</v>
      </c>
      <c r="E45" s="2" t="s">
        <v>350</v>
      </c>
      <c r="F45" s="2" t="s">
        <v>351</v>
      </c>
      <c r="G45" s="2" t="s">
        <v>352</v>
      </c>
      <c r="H45" s="2" t="s">
        <v>353</v>
      </c>
      <c r="I45" s="2" t="s">
        <v>354</v>
      </c>
      <c r="J45" s="2" t="s">
        <v>78</v>
      </c>
      <c r="K45" s="2" t="s">
        <v>7</v>
      </c>
      <c r="L45" s="2" t="s">
        <v>125</v>
      </c>
      <c r="M45" s="2" t="s">
        <v>248</v>
      </c>
      <c r="N45" s="7">
        <v>46293</v>
      </c>
      <c r="O45" s="2" t="s">
        <v>336</v>
      </c>
      <c r="P45" s="2" t="s">
        <v>337</v>
      </c>
      <c r="Q45" s="2"/>
      <c r="R45" s="2" t="s">
        <v>83</v>
      </c>
      <c r="S45" s="2"/>
    </row>
    <row r="46" spans="1:19" ht="60" customHeight="1">
      <c r="A46" s="2" t="s">
        <v>355</v>
      </c>
      <c r="B46" s="2" t="s">
        <v>339</v>
      </c>
      <c r="C46" s="2" t="s">
        <v>108</v>
      </c>
      <c r="D46" s="2" t="s">
        <v>356</v>
      </c>
      <c r="E46" s="2" t="s">
        <v>342</v>
      </c>
      <c r="F46" s="2" t="s">
        <v>357</v>
      </c>
      <c r="G46" s="2" t="s">
        <v>358</v>
      </c>
      <c r="H46" s="2" t="s">
        <v>359</v>
      </c>
      <c r="I46" s="2" t="s">
        <v>360</v>
      </c>
      <c r="J46" s="2" t="s">
        <v>78</v>
      </c>
      <c r="K46" s="2" t="s">
        <v>7</v>
      </c>
      <c r="L46" s="2" t="s">
        <v>79</v>
      </c>
      <c r="M46" s="2" t="s">
        <v>80</v>
      </c>
      <c r="N46" s="7">
        <v>46293</v>
      </c>
      <c r="O46" s="2" t="s">
        <v>336</v>
      </c>
      <c r="P46" s="2" t="s">
        <v>271</v>
      </c>
      <c r="Q46" s="2"/>
      <c r="R46" s="2" t="s">
        <v>83</v>
      </c>
      <c r="S46" s="2"/>
    </row>
    <row r="47" spans="1:19" ht="60" customHeight="1">
      <c r="A47" s="2" t="s">
        <v>361</v>
      </c>
      <c r="B47" s="2" t="s">
        <v>362</v>
      </c>
      <c r="C47" s="2" t="s">
        <v>18</v>
      </c>
      <c r="D47" s="2" t="s">
        <v>363</v>
      </c>
      <c r="E47" s="2" t="s">
        <v>364</v>
      </c>
      <c r="F47" s="2" t="s">
        <v>365</v>
      </c>
      <c r="G47" s="2" t="s">
        <v>366</v>
      </c>
      <c r="H47" s="2" t="s">
        <v>367</v>
      </c>
      <c r="I47" s="2" t="s">
        <v>368</v>
      </c>
      <c r="J47" s="2" t="s">
        <v>78</v>
      </c>
      <c r="K47" s="2" t="s">
        <v>7</v>
      </c>
      <c r="L47" s="2" t="s">
        <v>125</v>
      </c>
      <c r="M47" s="2" t="s">
        <v>248</v>
      </c>
      <c r="N47" s="7">
        <v>46293</v>
      </c>
      <c r="O47" s="2" t="s">
        <v>369</v>
      </c>
      <c r="P47" s="2" t="s">
        <v>190</v>
      </c>
      <c r="Q47" s="2"/>
      <c r="R47" s="2" t="s">
        <v>83</v>
      </c>
      <c r="S47" s="2"/>
    </row>
    <row r="48" spans="1:19" ht="60" customHeight="1">
      <c r="A48" s="2" t="s">
        <v>370</v>
      </c>
      <c r="B48" s="2" t="s">
        <v>18</v>
      </c>
      <c r="C48" s="2" t="s">
        <v>175</v>
      </c>
      <c r="D48" s="2" t="s">
        <v>371</v>
      </c>
      <c r="E48" s="2" t="s">
        <v>372</v>
      </c>
      <c r="F48" s="2" t="s">
        <v>373</v>
      </c>
      <c r="G48" s="2" t="s">
        <v>374</v>
      </c>
      <c r="H48" s="2" t="s">
        <v>375</v>
      </c>
      <c r="I48" s="2" t="s">
        <v>376</v>
      </c>
      <c r="J48" s="2" t="s">
        <v>78</v>
      </c>
      <c r="K48" s="2" t="s">
        <v>7</v>
      </c>
      <c r="L48" s="2" t="s">
        <v>125</v>
      </c>
      <c r="M48" s="2" t="s">
        <v>136</v>
      </c>
      <c r="N48" s="7">
        <v>46293</v>
      </c>
      <c r="O48" s="2" t="s">
        <v>234</v>
      </c>
      <c r="P48" s="2" t="s">
        <v>143</v>
      </c>
      <c r="Q48" s="2"/>
      <c r="R48" s="2" t="s">
        <v>83</v>
      </c>
      <c r="S48" s="2"/>
    </row>
    <row r="49" spans="1:19" ht="60" customHeight="1">
      <c r="A49" s="2" t="s">
        <v>377</v>
      </c>
      <c r="B49" s="2" t="s">
        <v>18</v>
      </c>
      <c r="C49" s="2" t="s">
        <v>175</v>
      </c>
      <c r="D49" s="2" t="s">
        <v>378</v>
      </c>
      <c r="E49" s="2" t="s">
        <v>379</v>
      </c>
      <c r="F49" s="2" t="s">
        <v>380</v>
      </c>
      <c r="G49" s="2" t="s">
        <v>381</v>
      </c>
      <c r="H49" s="2" t="s">
        <v>382</v>
      </c>
      <c r="I49" s="2" t="s">
        <v>383</v>
      </c>
      <c r="J49" s="2" t="s">
        <v>78</v>
      </c>
      <c r="K49" s="2" t="s">
        <v>7</v>
      </c>
      <c r="L49" s="2" t="s">
        <v>125</v>
      </c>
      <c r="M49" s="2" t="s">
        <v>136</v>
      </c>
      <c r="N49" s="7">
        <v>46293</v>
      </c>
      <c r="O49" s="2" t="s">
        <v>234</v>
      </c>
      <c r="P49" s="2" t="s">
        <v>143</v>
      </c>
      <c r="Q49" s="2"/>
      <c r="R49" s="2" t="s">
        <v>83</v>
      </c>
      <c r="S49" s="2"/>
    </row>
    <row r="50" spans="1:19" ht="60" customHeight="1">
      <c r="A50" s="2" t="s">
        <v>384</v>
      </c>
      <c r="B50" s="2" t="s">
        <v>18</v>
      </c>
      <c r="C50" s="2" t="s">
        <v>175</v>
      </c>
      <c r="D50" s="2" t="s">
        <v>385</v>
      </c>
      <c r="E50" s="2" t="s">
        <v>386</v>
      </c>
      <c r="F50" s="2" t="s">
        <v>387</v>
      </c>
      <c r="G50" s="2" t="s">
        <v>388</v>
      </c>
      <c r="H50" s="2" t="s">
        <v>389</v>
      </c>
      <c r="I50" s="2" t="s">
        <v>390</v>
      </c>
      <c r="J50" s="2" t="s">
        <v>78</v>
      </c>
      <c r="K50" s="2" t="s">
        <v>7</v>
      </c>
      <c r="L50" s="2" t="s">
        <v>79</v>
      </c>
      <c r="M50" s="2" t="s">
        <v>136</v>
      </c>
      <c r="N50" s="7">
        <v>46293</v>
      </c>
      <c r="O50" s="2" t="s">
        <v>234</v>
      </c>
      <c r="P50" s="2" t="s">
        <v>206</v>
      </c>
      <c r="Q50" s="2"/>
      <c r="R50" s="2" t="s">
        <v>83</v>
      </c>
      <c r="S50" s="2"/>
    </row>
    <row r="51" spans="1:19" ht="60" customHeight="1">
      <c r="A51" s="2" t="s">
        <v>391</v>
      </c>
      <c r="B51" s="2" t="s">
        <v>18</v>
      </c>
      <c r="C51" s="2" t="s">
        <v>392</v>
      </c>
      <c r="D51" s="2" t="s">
        <v>393</v>
      </c>
      <c r="E51" s="2" t="s">
        <v>394</v>
      </c>
      <c r="F51" s="2" t="s">
        <v>395</v>
      </c>
      <c r="G51" s="2" t="s">
        <v>396</v>
      </c>
      <c r="H51" s="2" t="s">
        <v>397</v>
      </c>
      <c r="I51" s="2" t="s">
        <v>398</v>
      </c>
      <c r="J51" s="2" t="s">
        <v>78</v>
      </c>
      <c r="K51" s="2" t="s">
        <v>7</v>
      </c>
      <c r="L51" s="2" t="s">
        <v>125</v>
      </c>
      <c r="M51" s="2" t="s">
        <v>248</v>
      </c>
      <c r="N51" s="7">
        <v>46293</v>
      </c>
      <c r="O51" s="2" t="s">
        <v>399</v>
      </c>
      <c r="P51" s="2" t="s">
        <v>400</v>
      </c>
      <c r="Q51" s="2"/>
      <c r="R51" s="2" t="s">
        <v>83</v>
      </c>
      <c r="S51" s="2"/>
    </row>
    <row r="52" spans="1:19" ht="60" customHeight="1">
      <c r="A52" s="2" t="s">
        <v>401</v>
      </c>
      <c r="B52" s="2" t="s">
        <v>18</v>
      </c>
      <c r="C52" s="2" t="s">
        <v>392</v>
      </c>
      <c r="D52" s="2" t="s">
        <v>402</v>
      </c>
      <c r="E52" s="2" t="s">
        <v>403</v>
      </c>
      <c r="F52" s="2" t="s">
        <v>404</v>
      </c>
      <c r="G52" s="2" t="s">
        <v>405</v>
      </c>
      <c r="H52" s="2" t="s">
        <v>406</v>
      </c>
      <c r="I52" s="2" t="s">
        <v>407</v>
      </c>
      <c r="J52" s="2" t="s">
        <v>78</v>
      </c>
      <c r="K52" s="2" t="s">
        <v>7</v>
      </c>
      <c r="L52" s="2" t="s">
        <v>125</v>
      </c>
      <c r="M52" s="2" t="s">
        <v>136</v>
      </c>
      <c r="N52" s="7">
        <v>46293</v>
      </c>
      <c r="O52" s="2" t="s">
        <v>172</v>
      </c>
      <c r="P52" s="2" t="s">
        <v>173</v>
      </c>
      <c r="Q52" s="2"/>
      <c r="R52" s="2" t="s">
        <v>83</v>
      </c>
      <c r="S52" s="2"/>
    </row>
    <row r="53" spans="1:19" ht="60" customHeight="1">
      <c r="A53" s="2" t="s">
        <v>408</v>
      </c>
      <c r="B53" s="2" t="s">
        <v>409</v>
      </c>
      <c r="C53" s="2" t="s">
        <v>12</v>
      </c>
      <c r="D53" s="2" t="s">
        <v>410</v>
      </c>
      <c r="E53" s="2" t="s">
        <v>411</v>
      </c>
      <c r="F53" s="2" t="s">
        <v>412</v>
      </c>
      <c r="G53" s="2" t="s">
        <v>413</v>
      </c>
      <c r="H53" s="2" t="s">
        <v>414</v>
      </c>
      <c r="I53" s="2" t="s">
        <v>415</v>
      </c>
      <c r="J53" s="2" t="s">
        <v>78</v>
      </c>
      <c r="K53" s="2" t="s">
        <v>7</v>
      </c>
      <c r="L53" s="2" t="s">
        <v>79</v>
      </c>
      <c r="M53" s="2" t="s">
        <v>136</v>
      </c>
      <c r="N53" s="7">
        <v>46294</v>
      </c>
      <c r="O53" s="2" t="s">
        <v>416</v>
      </c>
      <c r="P53" s="2" t="s">
        <v>99</v>
      </c>
      <c r="Q53" s="2"/>
      <c r="R53" s="2" t="s">
        <v>83</v>
      </c>
      <c r="S53" s="2"/>
    </row>
    <row r="54" spans="1:19" ht="60" customHeight="1">
      <c r="A54" s="2" t="s">
        <v>417</v>
      </c>
      <c r="B54" s="2" t="s">
        <v>409</v>
      </c>
      <c r="C54" s="2" t="s">
        <v>12</v>
      </c>
      <c r="D54" s="2" t="s">
        <v>418</v>
      </c>
      <c r="E54" s="2" t="s">
        <v>419</v>
      </c>
      <c r="F54" s="2" t="s">
        <v>420</v>
      </c>
      <c r="G54" s="2" t="s">
        <v>421</v>
      </c>
      <c r="H54" s="2" t="s">
        <v>422</v>
      </c>
      <c r="I54" s="2" t="s">
        <v>423</v>
      </c>
      <c r="J54" s="2" t="s">
        <v>78</v>
      </c>
      <c r="K54" s="2" t="s">
        <v>7</v>
      </c>
      <c r="L54" s="2" t="s">
        <v>79</v>
      </c>
      <c r="M54" s="2" t="s">
        <v>136</v>
      </c>
      <c r="N54" s="7">
        <v>46294</v>
      </c>
      <c r="O54" s="2" t="s">
        <v>416</v>
      </c>
      <c r="P54" s="2" t="s">
        <v>99</v>
      </c>
      <c r="Q54" s="2"/>
      <c r="R54" s="2" t="s">
        <v>83</v>
      </c>
      <c r="S54" s="2"/>
    </row>
    <row r="55" spans="1:19" ht="60" customHeight="1">
      <c r="A55" s="2" t="s">
        <v>424</v>
      </c>
      <c r="B55" s="2" t="s">
        <v>409</v>
      </c>
      <c r="C55" s="2" t="s">
        <v>175</v>
      </c>
      <c r="D55" s="2" t="s">
        <v>425</v>
      </c>
      <c r="E55" s="2" t="s">
        <v>426</v>
      </c>
      <c r="F55" s="2" t="s">
        <v>427</v>
      </c>
      <c r="G55" s="2" t="s">
        <v>428</v>
      </c>
      <c r="H55" s="2" t="s">
        <v>429</v>
      </c>
      <c r="I55" s="2" t="s">
        <v>430</v>
      </c>
      <c r="J55" s="2" t="s">
        <v>78</v>
      </c>
      <c r="K55" s="2" t="s">
        <v>7</v>
      </c>
      <c r="L55" s="2" t="s">
        <v>79</v>
      </c>
      <c r="M55" s="2" t="s">
        <v>136</v>
      </c>
      <c r="N55" s="7">
        <v>46294</v>
      </c>
      <c r="O55" s="2" t="s">
        <v>416</v>
      </c>
      <c r="P55" s="2" t="s">
        <v>190</v>
      </c>
      <c r="Q55" s="2"/>
      <c r="R55" s="2" t="s">
        <v>83</v>
      </c>
      <c r="S55" s="2"/>
    </row>
    <row r="56" spans="1:19" ht="60" customHeight="1">
      <c r="A56" s="2" t="s">
        <v>431</v>
      </c>
      <c r="B56" s="2" t="s">
        <v>21</v>
      </c>
      <c r="C56" s="2" t="s">
        <v>21</v>
      </c>
      <c r="D56" s="2" t="s">
        <v>432</v>
      </c>
      <c r="E56" s="2" t="s">
        <v>433</v>
      </c>
      <c r="F56" s="2" t="s">
        <v>434</v>
      </c>
      <c r="G56" s="2" t="s">
        <v>435</v>
      </c>
      <c r="H56" s="2" t="s">
        <v>436</v>
      </c>
      <c r="I56" s="2" t="s">
        <v>437</v>
      </c>
      <c r="J56" s="2" t="s">
        <v>78</v>
      </c>
      <c r="K56" s="2" t="s">
        <v>7</v>
      </c>
      <c r="L56" s="2" t="s">
        <v>125</v>
      </c>
      <c r="M56" s="2" t="s">
        <v>91</v>
      </c>
      <c r="N56" s="7">
        <v>46294</v>
      </c>
      <c r="O56" s="2" t="s">
        <v>438</v>
      </c>
      <c r="P56" s="2" t="s">
        <v>439</v>
      </c>
      <c r="Q56" s="2"/>
      <c r="R56" s="2" t="s">
        <v>83</v>
      </c>
      <c r="S56" s="2"/>
    </row>
    <row r="57" spans="1:19" ht="60" customHeight="1">
      <c r="A57" s="2" t="s">
        <v>440</v>
      </c>
      <c r="B57" s="2" t="s">
        <v>21</v>
      </c>
      <c r="C57" s="2" t="s">
        <v>21</v>
      </c>
      <c r="D57" s="2" t="s">
        <v>441</v>
      </c>
      <c r="E57" s="2" t="s">
        <v>442</v>
      </c>
      <c r="F57" s="2" t="s">
        <v>443</v>
      </c>
      <c r="G57" s="2" t="s">
        <v>444</v>
      </c>
      <c r="H57" s="2" t="s">
        <v>445</v>
      </c>
      <c r="I57" s="2" t="s">
        <v>446</v>
      </c>
      <c r="J57" s="2" t="s">
        <v>78</v>
      </c>
      <c r="K57" s="2" t="s">
        <v>7</v>
      </c>
      <c r="L57" s="2" t="s">
        <v>125</v>
      </c>
      <c r="M57" s="2" t="s">
        <v>91</v>
      </c>
      <c r="N57" s="7">
        <v>46294</v>
      </c>
      <c r="O57" s="2" t="s">
        <v>447</v>
      </c>
      <c r="P57" s="2" t="s">
        <v>448</v>
      </c>
      <c r="Q57" s="2"/>
      <c r="R57" s="2" t="s">
        <v>83</v>
      </c>
      <c r="S57" s="2"/>
    </row>
    <row r="58" spans="1:19" ht="60" customHeight="1">
      <c r="A58" s="2" t="s">
        <v>449</v>
      </c>
      <c r="B58" s="2" t="s">
        <v>21</v>
      </c>
      <c r="C58" s="2" t="s">
        <v>21</v>
      </c>
      <c r="D58" s="2" t="s">
        <v>450</v>
      </c>
      <c r="E58" s="2" t="s">
        <v>451</v>
      </c>
      <c r="F58" s="2" t="s">
        <v>452</v>
      </c>
      <c r="G58" s="2" t="s">
        <v>453</v>
      </c>
      <c r="H58" s="2" t="s">
        <v>454</v>
      </c>
      <c r="I58" s="2" t="s">
        <v>455</v>
      </c>
      <c r="J58" s="2" t="s">
        <v>78</v>
      </c>
      <c r="K58" s="2" t="s">
        <v>292</v>
      </c>
      <c r="L58" s="2" t="s">
        <v>125</v>
      </c>
      <c r="M58" s="2" t="s">
        <v>91</v>
      </c>
      <c r="N58" s="7">
        <v>46294</v>
      </c>
      <c r="O58" s="2" t="s">
        <v>447</v>
      </c>
      <c r="P58" s="2" t="s">
        <v>448</v>
      </c>
      <c r="Q58" s="2" t="s">
        <v>456</v>
      </c>
      <c r="R58" s="2" t="s">
        <v>9</v>
      </c>
      <c r="S58" s="2" t="s">
        <v>457</v>
      </c>
    </row>
    <row r="59" spans="1:19" ht="60" customHeight="1">
      <c r="A59" s="2" t="s">
        <v>458</v>
      </c>
      <c r="B59" s="2" t="s">
        <v>21</v>
      </c>
      <c r="C59" s="2" t="s">
        <v>21</v>
      </c>
      <c r="D59" s="2" t="s">
        <v>459</v>
      </c>
      <c r="E59" s="2" t="s">
        <v>433</v>
      </c>
      <c r="F59" s="2" t="s">
        <v>460</v>
      </c>
      <c r="G59" s="2" t="s">
        <v>461</v>
      </c>
      <c r="H59" s="2" t="s">
        <v>462</v>
      </c>
      <c r="I59" s="2" t="s">
        <v>463</v>
      </c>
      <c r="J59" s="2" t="s">
        <v>78</v>
      </c>
      <c r="K59" s="2" t="s">
        <v>7</v>
      </c>
      <c r="L59" s="2" t="s">
        <v>79</v>
      </c>
      <c r="M59" s="2" t="s">
        <v>91</v>
      </c>
      <c r="N59" s="7">
        <v>46294</v>
      </c>
      <c r="O59" s="2" t="s">
        <v>447</v>
      </c>
      <c r="P59" s="2" t="s">
        <v>464</v>
      </c>
      <c r="Q59" s="2"/>
      <c r="R59" s="2" t="s">
        <v>83</v>
      </c>
      <c r="S59" s="2"/>
    </row>
    <row r="60" spans="1:19" ht="60" customHeight="1">
      <c r="A60" s="2" t="s">
        <v>465</v>
      </c>
      <c r="B60" s="2" t="s">
        <v>21</v>
      </c>
      <c r="C60" s="2" t="s">
        <v>466</v>
      </c>
      <c r="D60" s="2" t="s">
        <v>467</v>
      </c>
      <c r="E60" s="2" t="s">
        <v>379</v>
      </c>
      <c r="F60" s="2" t="s">
        <v>468</v>
      </c>
      <c r="G60" s="2" t="s">
        <v>469</v>
      </c>
      <c r="H60" s="2" t="s">
        <v>470</v>
      </c>
      <c r="I60" s="2" t="s">
        <v>471</v>
      </c>
      <c r="J60" s="2" t="s">
        <v>78</v>
      </c>
      <c r="K60" s="2" t="s">
        <v>7</v>
      </c>
      <c r="L60" s="2" t="s">
        <v>125</v>
      </c>
      <c r="M60" s="2" t="s">
        <v>91</v>
      </c>
      <c r="N60" s="7">
        <v>46294</v>
      </c>
      <c r="O60" s="2" t="s">
        <v>447</v>
      </c>
      <c r="P60" s="2" t="s">
        <v>472</v>
      </c>
      <c r="Q60" s="2"/>
      <c r="R60" s="2" t="s">
        <v>83</v>
      </c>
      <c r="S60" s="2"/>
    </row>
    <row r="61" spans="1:19" ht="60" customHeight="1">
      <c r="A61" s="2" t="s">
        <v>473</v>
      </c>
      <c r="B61" s="2" t="s">
        <v>21</v>
      </c>
      <c r="C61" s="2" t="s">
        <v>21</v>
      </c>
      <c r="D61" s="2" t="s">
        <v>474</v>
      </c>
      <c r="E61" s="2" t="s">
        <v>475</v>
      </c>
      <c r="F61" s="2" t="s">
        <v>476</v>
      </c>
      <c r="G61" s="2" t="s">
        <v>477</v>
      </c>
      <c r="H61" s="2" t="s">
        <v>478</v>
      </c>
      <c r="I61" s="2" t="s">
        <v>479</v>
      </c>
      <c r="J61" s="2" t="s">
        <v>78</v>
      </c>
      <c r="K61" s="2" t="s">
        <v>7</v>
      </c>
      <c r="L61" s="2" t="s">
        <v>79</v>
      </c>
      <c r="M61" s="2" t="s">
        <v>136</v>
      </c>
      <c r="N61" s="7">
        <v>46294</v>
      </c>
      <c r="O61" s="2" t="s">
        <v>438</v>
      </c>
      <c r="P61" s="2" t="s">
        <v>480</v>
      </c>
      <c r="Q61" s="2"/>
      <c r="R61" s="2" t="s">
        <v>83</v>
      </c>
      <c r="S61" s="2"/>
    </row>
    <row r="62" spans="1:19" ht="60" customHeight="1">
      <c r="A62" s="2" t="s">
        <v>481</v>
      </c>
      <c r="B62" s="2" t="s">
        <v>21</v>
      </c>
      <c r="C62" s="2" t="s">
        <v>21</v>
      </c>
      <c r="D62" s="2" t="s">
        <v>482</v>
      </c>
      <c r="E62" s="2" t="s">
        <v>483</v>
      </c>
      <c r="F62" s="2" t="s">
        <v>484</v>
      </c>
      <c r="G62" s="2" t="s">
        <v>485</v>
      </c>
      <c r="H62" s="2" t="s">
        <v>486</v>
      </c>
      <c r="I62" s="2" t="s">
        <v>487</v>
      </c>
      <c r="J62" s="2" t="s">
        <v>78</v>
      </c>
      <c r="K62" s="2" t="s">
        <v>7</v>
      </c>
      <c r="L62" s="2" t="s">
        <v>79</v>
      </c>
      <c r="M62" s="2" t="s">
        <v>91</v>
      </c>
      <c r="N62" s="7">
        <v>46294</v>
      </c>
      <c r="O62" s="2" t="s">
        <v>488</v>
      </c>
      <c r="P62" s="2" t="s">
        <v>489</v>
      </c>
      <c r="Q62" s="2"/>
      <c r="R62" s="2" t="s">
        <v>83</v>
      </c>
      <c r="S62" s="2"/>
    </row>
    <row r="63" spans="1:19" ht="60" customHeight="1">
      <c r="A63" s="2" t="s">
        <v>490</v>
      </c>
      <c r="B63" s="2" t="s">
        <v>21</v>
      </c>
      <c r="C63" s="2" t="s">
        <v>21</v>
      </c>
      <c r="D63" s="2" t="s">
        <v>491</v>
      </c>
      <c r="E63" s="2" t="s">
        <v>492</v>
      </c>
      <c r="F63" s="2" t="s">
        <v>493</v>
      </c>
      <c r="G63" s="2" t="s">
        <v>494</v>
      </c>
      <c r="H63" s="2" t="s">
        <v>495</v>
      </c>
      <c r="I63" s="2" t="s">
        <v>496</v>
      </c>
      <c r="J63" s="2" t="s">
        <v>78</v>
      </c>
      <c r="K63" s="2" t="s">
        <v>7</v>
      </c>
      <c r="L63" s="2" t="s">
        <v>79</v>
      </c>
      <c r="M63" s="2" t="s">
        <v>91</v>
      </c>
      <c r="N63" s="7">
        <v>46294</v>
      </c>
      <c r="O63" s="2" t="s">
        <v>497</v>
      </c>
      <c r="P63" s="2" t="s">
        <v>498</v>
      </c>
      <c r="Q63" s="2"/>
      <c r="R63" s="2" t="s">
        <v>83</v>
      </c>
      <c r="S63" s="2"/>
    </row>
    <row r="64" spans="1:19" ht="60" customHeight="1">
      <c r="A64" s="2" t="s">
        <v>499</v>
      </c>
      <c r="B64" s="2" t="s">
        <v>21</v>
      </c>
      <c r="C64" s="2" t="s">
        <v>21</v>
      </c>
      <c r="D64" s="2" t="s">
        <v>500</v>
      </c>
      <c r="E64" s="2" t="s">
        <v>501</v>
      </c>
      <c r="F64" s="2" t="s">
        <v>502</v>
      </c>
      <c r="G64" s="2" t="s">
        <v>503</v>
      </c>
      <c r="H64" s="2" t="s">
        <v>504</v>
      </c>
      <c r="I64" s="2" t="s">
        <v>505</v>
      </c>
      <c r="J64" s="2" t="s">
        <v>78</v>
      </c>
      <c r="K64" s="2" t="s">
        <v>7</v>
      </c>
      <c r="L64" s="2" t="s">
        <v>79</v>
      </c>
      <c r="M64" s="2" t="s">
        <v>91</v>
      </c>
      <c r="N64" s="7">
        <v>46294</v>
      </c>
      <c r="O64" s="2" t="s">
        <v>497</v>
      </c>
      <c r="P64" s="2" t="s">
        <v>498</v>
      </c>
      <c r="Q64" s="2"/>
      <c r="R64" s="2" t="s">
        <v>83</v>
      </c>
      <c r="S64" s="2"/>
    </row>
    <row r="65" spans="1:19" ht="60" customHeight="1">
      <c r="A65" s="2" t="s">
        <v>506</v>
      </c>
      <c r="B65" s="2" t="s">
        <v>24</v>
      </c>
      <c r="C65" s="2" t="s">
        <v>24</v>
      </c>
      <c r="D65" s="2" t="s">
        <v>507</v>
      </c>
      <c r="E65" s="2" t="s">
        <v>508</v>
      </c>
      <c r="F65" s="2" t="s">
        <v>509</v>
      </c>
      <c r="G65" s="2" t="s">
        <v>510</v>
      </c>
      <c r="H65" s="2" t="s">
        <v>511</v>
      </c>
      <c r="I65" s="2" t="s">
        <v>512</v>
      </c>
      <c r="J65" s="2" t="s">
        <v>78</v>
      </c>
      <c r="K65" s="2" t="s">
        <v>7</v>
      </c>
      <c r="L65" s="2" t="s">
        <v>79</v>
      </c>
      <c r="M65" s="2" t="s">
        <v>136</v>
      </c>
      <c r="N65" s="7">
        <v>46295</v>
      </c>
      <c r="O65" s="2" t="s">
        <v>488</v>
      </c>
      <c r="P65" s="2" t="s">
        <v>513</v>
      </c>
      <c r="Q65" s="2"/>
      <c r="R65" s="2" t="s">
        <v>83</v>
      </c>
      <c r="S65" s="2"/>
    </row>
    <row r="66" spans="1:19" ht="60" customHeight="1">
      <c r="A66" s="2" t="s">
        <v>514</v>
      </c>
      <c r="B66" s="2" t="s">
        <v>24</v>
      </c>
      <c r="C66" s="2" t="s">
        <v>24</v>
      </c>
      <c r="D66" s="2" t="s">
        <v>515</v>
      </c>
      <c r="E66" s="2" t="s">
        <v>516</v>
      </c>
      <c r="F66" s="2" t="s">
        <v>509</v>
      </c>
      <c r="G66" s="2" t="s">
        <v>510</v>
      </c>
      <c r="H66" s="2" t="s">
        <v>511</v>
      </c>
      <c r="I66" s="2" t="s">
        <v>517</v>
      </c>
      <c r="J66" s="2" t="s">
        <v>78</v>
      </c>
      <c r="K66" s="2" t="s">
        <v>7</v>
      </c>
      <c r="L66" s="2" t="s">
        <v>79</v>
      </c>
      <c r="M66" s="2" t="s">
        <v>136</v>
      </c>
      <c r="N66" s="7">
        <v>46295</v>
      </c>
      <c r="O66" s="2" t="s">
        <v>488</v>
      </c>
      <c r="P66" s="2" t="s">
        <v>513</v>
      </c>
      <c r="Q66" s="2"/>
      <c r="R66" s="2" t="s">
        <v>83</v>
      </c>
      <c r="S66" s="2"/>
    </row>
    <row r="67" spans="1:19" ht="60" customHeight="1">
      <c r="A67" s="2" t="s">
        <v>518</v>
      </c>
      <c r="B67" s="2" t="s">
        <v>24</v>
      </c>
      <c r="C67" s="2" t="s">
        <v>108</v>
      </c>
      <c r="D67" s="2" t="s">
        <v>519</v>
      </c>
      <c r="E67" s="2" t="s">
        <v>520</v>
      </c>
      <c r="F67" s="2" t="s">
        <v>521</v>
      </c>
      <c r="G67" s="2" t="s">
        <v>522</v>
      </c>
      <c r="H67" s="2" t="s">
        <v>523</v>
      </c>
      <c r="I67" s="2" t="s">
        <v>524</v>
      </c>
      <c r="J67" s="2" t="s">
        <v>78</v>
      </c>
      <c r="K67" s="2" t="s">
        <v>7</v>
      </c>
      <c r="L67" s="2" t="s">
        <v>79</v>
      </c>
      <c r="M67" s="2" t="s">
        <v>91</v>
      </c>
      <c r="N67" s="7">
        <v>46295</v>
      </c>
      <c r="O67" s="2" t="s">
        <v>488</v>
      </c>
      <c r="P67" s="2" t="s">
        <v>489</v>
      </c>
      <c r="Q67" s="2"/>
      <c r="R67" s="2" t="s">
        <v>83</v>
      </c>
      <c r="S67" s="2"/>
    </row>
    <row r="68" spans="1:19" ht="60" customHeight="1">
      <c r="A68" s="2" t="s">
        <v>525</v>
      </c>
      <c r="B68" s="2" t="s">
        <v>27</v>
      </c>
      <c r="C68" s="2" t="s">
        <v>27</v>
      </c>
      <c r="D68" s="2" t="s">
        <v>526</v>
      </c>
      <c r="E68" s="2" t="s">
        <v>527</v>
      </c>
      <c r="F68" s="2" t="s">
        <v>528</v>
      </c>
      <c r="G68" s="2" t="s">
        <v>529</v>
      </c>
      <c r="H68" s="2" t="s">
        <v>530</v>
      </c>
      <c r="I68" s="2" t="s">
        <v>531</v>
      </c>
      <c r="J68" s="2" t="s">
        <v>78</v>
      </c>
      <c r="K68" s="2" t="s">
        <v>7</v>
      </c>
      <c r="L68" s="2" t="s">
        <v>106</v>
      </c>
      <c r="M68" s="2" t="s">
        <v>248</v>
      </c>
      <c r="N68" s="7">
        <v>46295</v>
      </c>
      <c r="O68" s="2" t="s">
        <v>532</v>
      </c>
      <c r="P68" s="2" t="s">
        <v>533</v>
      </c>
      <c r="Q68" s="2"/>
      <c r="R68" s="2" t="s">
        <v>83</v>
      </c>
      <c r="S68" s="2"/>
    </row>
    <row r="69" spans="1:19" ht="60" customHeight="1">
      <c r="A69" s="2" t="s">
        <v>534</v>
      </c>
      <c r="B69" s="2" t="s">
        <v>27</v>
      </c>
      <c r="C69" s="2" t="s">
        <v>27</v>
      </c>
      <c r="D69" s="2" t="s">
        <v>535</v>
      </c>
      <c r="E69" s="2" t="s">
        <v>527</v>
      </c>
      <c r="F69" s="2" t="s">
        <v>536</v>
      </c>
      <c r="G69" s="2" t="s">
        <v>537</v>
      </c>
      <c r="H69" s="2" t="s">
        <v>538</v>
      </c>
      <c r="I69" s="2" t="s">
        <v>539</v>
      </c>
      <c r="J69" s="2" t="s">
        <v>78</v>
      </c>
      <c r="K69" s="2" t="s">
        <v>7</v>
      </c>
      <c r="L69" s="2" t="s">
        <v>106</v>
      </c>
      <c r="M69" s="2" t="s">
        <v>126</v>
      </c>
      <c r="N69" s="7">
        <v>46295</v>
      </c>
      <c r="O69" s="2" t="s">
        <v>532</v>
      </c>
      <c r="P69" s="2" t="s">
        <v>540</v>
      </c>
      <c r="Q69" s="2"/>
      <c r="R69" s="2" t="s">
        <v>83</v>
      </c>
      <c r="S69" s="2"/>
    </row>
    <row r="70" spans="1:19" ht="60" customHeight="1">
      <c r="A70" s="2" t="s">
        <v>541</v>
      </c>
      <c r="B70" s="2" t="s">
        <v>542</v>
      </c>
      <c r="C70" s="2" t="s">
        <v>543</v>
      </c>
      <c r="D70" s="2" t="s">
        <v>544</v>
      </c>
      <c r="E70" s="2" t="s">
        <v>545</v>
      </c>
      <c r="F70" s="2" t="s">
        <v>546</v>
      </c>
      <c r="G70" s="2" t="s">
        <v>547</v>
      </c>
      <c r="H70" s="2" t="s">
        <v>548</v>
      </c>
      <c r="I70" s="2" t="s">
        <v>549</v>
      </c>
      <c r="J70" s="2" t="s">
        <v>78</v>
      </c>
      <c r="K70" s="2" t="s">
        <v>7</v>
      </c>
      <c r="L70" s="2" t="s">
        <v>125</v>
      </c>
      <c r="M70" s="2" t="s">
        <v>126</v>
      </c>
      <c r="N70" s="7">
        <v>46295</v>
      </c>
      <c r="O70" s="2" t="s">
        <v>164</v>
      </c>
      <c r="P70" s="2" t="s">
        <v>323</v>
      </c>
      <c r="Q70" s="2"/>
      <c r="R70" s="2" t="s">
        <v>83</v>
      </c>
      <c r="S70" s="2"/>
    </row>
    <row r="71" spans="1:19" ht="60" customHeight="1">
      <c r="A71" s="2" t="s">
        <v>550</v>
      </c>
      <c r="B71" s="2" t="s">
        <v>542</v>
      </c>
      <c r="C71" s="2" t="s">
        <v>551</v>
      </c>
      <c r="D71" s="2" t="s">
        <v>552</v>
      </c>
      <c r="E71" s="2" t="s">
        <v>553</v>
      </c>
      <c r="F71" s="2" t="s">
        <v>554</v>
      </c>
      <c r="G71" s="2" t="s">
        <v>555</v>
      </c>
      <c r="H71" s="2" t="s">
        <v>162</v>
      </c>
      <c r="I71" s="2" t="s">
        <v>556</v>
      </c>
      <c r="J71" s="2" t="s">
        <v>78</v>
      </c>
      <c r="K71" s="2" t="s">
        <v>7</v>
      </c>
      <c r="L71" s="2" t="s">
        <v>125</v>
      </c>
      <c r="M71" s="2" t="s">
        <v>126</v>
      </c>
      <c r="N71" s="7">
        <v>46295</v>
      </c>
      <c r="O71" s="2" t="s">
        <v>164</v>
      </c>
      <c r="P71" s="2" t="s">
        <v>165</v>
      </c>
      <c r="Q71" s="2"/>
      <c r="R71" s="2" t="s">
        <v>83</v>
      </c>
      <c r="S71" s="2"/>
    </row>
    <row r="72" spans="1:19" ht="60" customHeight="1">
      <c r="A72" s="2" t="s">
        <v>557</v>
      </c>
      <c r="B72" s="2" t="s">
        <v>30</v>
      </c>
      <c r="C72" s="2" t="s">
        <v>30</v>
      </c>
      <c r="D72" s="2" t="s">
        <v>558</v>
      </c>
      <c r="E72" s="2" t="s">
        <v>559</v>
      </c>
      <c r="F72" s="2" t="s">
        <v>560</v>
      </c>
      <c r="G72" s="2" t="s">
        <v>561</v>
      </c>
      <c r="H72" s="2" t="s">
        <v>562</v>
      </c>
      <c r="I72" s="2" t="s">
        <v>563</v>
      </c>
      <c r="J72" s="2" t="s">
        <v>78</v>
      </c>
      <c r="K72" s="2" t="s">
        <v>292</v>
      </c>
      <c r="L72" s="2" t="s">
        <v>125</v>
      </c>
      <c r="M72" s="2" t="s">
        <v>248</v>
      </c>
      <c r="N72" s="7">
        <v>46295</v>
      </c>
      <c r="O72" s="2" t="s">
        <v>564</v>
      </c>
      <c r="P72" s="2" t="s">
        <v>565</v>
      </c>
      <c r="Q72" s="2" t="s">
        <v>566</v>
      </c>
      <c r="R72" s="2" t="s">
        <v>9</v>
      </c>
      <c r="S72" s="2" t="s">
        <v>567</v>
      </c>
    </row>
    <row r="73" spans="1:19" ht="60" customHeight="1">
      <c r="A73" s="2" t="s">
        <v>568</v>
      </c>
      <c r="B73" s="2" t="s">
        <v>569</v>
      </c>
      <c r="C73" s="2" t="s">
        <v>18</v>
      </c>
      <c r="D73" s="2" t="s">
        <v>570</v>
      </c>
      <c r="E73" s="2" t="s">
        <v>571</v>
      </c>
      <c r="F73" s="2" t="s">
        <v>572</v>
      </c>
      <c r="G73" s="2" t="s">
        <v>573</v>
      </c>
      <c r="H73" s="2" t="s">
        <v>574</v>
      </c>
      <c r="I73" s="2" t="s">
        <v>575</v>
      </c>
      <c r="J73" s="2" t="s">
        <v>78</v>
      </c>
      <c r="K73" s="2" t="s">
        <v>292</v>
      </c>
      <c r="L73" s="2" t="s">
        <v>79</v>
      </c>
      <c r="M73" s="2" t="s">
        <v>126</v>
      </c>
      <c r="N73" s="7">
        <v>46296</v>
      </c>
      <c r="O73" s="2" t="s">
        <v>576</v>
      </c>
      <c r="P73" s="2" t="s">
        <v>206</v>
      </c>
      <c r="Q73" s="2" t="s">
        <v>577</v>
      </c>
      <c r="R73" s="2" t="s">
        <v>9</v>
      </c>
      <c r="S73" s="2" t="s">
        <v>578</v>
      </c>
    </row>
    <row r="74" spans="1:19" ht="60" customHeight="1">
      <c r="A74" s="2" t="s">
        <v>579</v>
      </c>
      <c r="B74" s="2" t="s">
        <v>580</v>
      </c>
      <c r="C74" s="2" t="s">
        <v>581</v>
      </c>
      <c r="D74" s="2" t="s">
        <v>582</v>
      </c>
      <c r="E74" s="2" t="s">
        <v>583</v>
      </c>
      <c r="F74" s="2" t="s">
        <v>584</v>
      </c>
      <c r="G74" s="2" t="s">
        <v>585</v>
      </c>
      <c r="H74" s="2" t="s">
        <v>586</v>
      </c>
      <c r="I74" s="2" t="s">
        <v>587</v>
      </c>
      <c r="J74" s="2" t="s">
        <v>9</v>
      </c>
      <c r="K74" s="2" t="s">
        <v>588</v>
      </c>
      <c r="L74" s="2" t="s">
        <v>79</v>
      </c>
      <c r="M74" s="2" t="s">
        <v>126</v>
      </c>
      <c r="N74" s="7"/>
      <c r="O74" s="2" t="s">
        <v>589</v>
      </c>
      <c r="P74" s="2" t="s">
        <v>128</v>
      </c>
      <c r="Q74" s="2"/>
      <c r="R74" s="2" t="s">
        <v>9</v>
      </c>
      <c r="S74" s="2" t="s">
        <v>590</v>
      </c>
    </row>
    <row r="75" spans="1:19" ht="60" customHeight="1">
      <c r="A75" s="2" t="s">
        <v>591</v>
      </c>
      <c r="B75" s="2" t="s">
        <v>580</v>
      </c>
      <c r="C75" s="2" t="s">
        <v>592</v>
      </c>
      <c r="D75" s="2" t="s">
        <v>593</v>
      </c>
      <c r="E75" s="2" t="s">
        <v>583</v>
      </c>
      <c r="F75" s="2" t="s">
        <v>584</v>
      </c>
      <c r="G75" s="2" t="s">
        <v>594</v>
      </c>
      <c r="H75" s="2" t="s">
        <v>586</v>
      </c>
      <c r="I75" s="2" t="s">
        <v>587</v>
      </c>
      <c r="J75" s="2" t="s">
        <v>9</v>
      </c>
      <c r="K75" s="2" t="s">
        <v>588</v>
      </c>
      <c r="L75" s="2" t="s">
        <v>79</v>
      </c>
      <c r="M75" s="2" t="s">
        <v>126</v>
      </c>
      <c r="N75" s="7"/>
      <c r="O75" s="2" t="s">
        <v>595</v>
      </c>
      <c r="P75" s="2" t="s">
        <v>337</v>
      </c>
      <c r="Q75" s="2"/>
      <c r="R75" s="2" t="s">
        <v>9</v>
      </c>
      <c r="S75" s="2" t="s">
        <v>590</v>
      </c>
    </row>
    <row r="76" spans="1:19" ht="60" customHeight="1">
      <c r="A76" s="2" t="s">
        <v>596</v>
      </c>
      <c r="B76" s="2" t="s">
        <v>597</v>
      </c>
      <c r="C76" s="2" t="s">
        <v>581</v>
      </c>
      <c r="D76" s="2" t="s">
        <v>598</v>
      </c>
      <c r="E76" s="2" t="s">
        <v>583</v>
      </c>
      <c r="F76" s="2" t="s">
        <v>584</v>
      </c>
      <c r="G76" s="2" t="s">
        <v>599</v>
      </c>
      <c r="H76" s="2" t="s">
        <v>586</v>
      </c>
      <c r="I76" s="2" t="s">
        <v>587</v>
      </c>
      <c r="J76" s="2" t="s">
        <v>9</v>
      </c>
      <c r="K76" s="2" t="s">
        <v>588</v>
      </c>
      <c r="L76" s="2" t="s">
        <v>79</v>
      </c>
      <c r="M76" s="2" t="s">
        <v>126</v>
      </c>
      <c r="N76" s="7"/>
      <c r="O76" s="2" t="s">
        <v>600</v>
      </c>
      <c r="P76" s="2" t="s">
        <v>271</v>
      </c>
      <c r="Q76" s="2"/>
      <c r="R76" s="2" t="s">
        <v>9</v>
      </c>
      <c r="S76" s="2" t="s">
        <v>590</v>
      </c>
    </row>
    <row r="77" spans="1:19" ht="60" customHeight="1">
      <c r="A77" s="2" t="s">
        <v>601</v>
      </c>
      <c r="B77" s="2" t="s">
        <v>602</v>
      </c>
      <c r="C77" s="2" t="s">
        <v>592</v>
      </c>
      <c r="D77" s="2" t="s">
        <v>603</v>
      </c>
      <c r="E77" s="2" t="s">
        <v>583</v>
      </c>
      <c r="F77" s="2" t="s">
        <v>584</v>
      </c>
      <c r="G77" s="2" t="s">
        <v>604</v>
      </c>
      <c r="H77" s="2" t="s">
        <v>586</v>
      </c>
      <c r="I77" s="2" t="s">
        <v>587</v>
      </c>
      <c r="J77" s="2" t="s">
        <v>9</v>
      </c>
      <c r="K77" s="2" t="s">
        <v>588</v>
      </c>
      <c r="L77" s="2" t="s">
        <v>79</v>
      </c>
      <c r="M77" s="2" t="s">
        <v>248</v>
      </c>
      <c r="N77" s="7"/>
      <c r="O77" s="2" t="s">
        <v>605</v>
      </c>
      <c r="P77" s="2" t="s">
        <v>337</v>
      </c>
      <c r="Q77" s="2"/>
      <c r="R77" s="2" t="s">
        <v>9</v>
      </c>
      <c r="S77" s="2" t="s">
        <v>590</v>
      </c>
    </row>
    <row r="78" spans="1:19" ht="60" customHeight="1">
      <c r="A78" s="2" t="s">
        <v>606</v>
      </c>
      <c r="B78" s="2" t="s">
        <v>607</v>
      </c>
      <c r="C78" s="2" t="s">
        <v>581</v>
      </c>
      <c r="D78" s="2" t="s">
        <v>608</v>
      </c>
      <c r="E78" s="2" t="s">
        <v>583</v>
      </c>
      <c r="F78" s="2" t="s">
        <v>584</v>
      </c>
      <c r="G78" s="2" t="s">
        <v>609</v>
      </c>
      <c r="H78" s="2" t="s">
        <v>586</v>
      </c>
      <c r="I78" s="2" t="s">
        <v>587</v>
      </c>
      <c r="J78" s="2" t="s">
        <v>9</v>
      </c>
      <c r="K78" s="2" t="s">
        <v>588</v>
      </c>
      <c r="L78" s="2" t="s">
        <v>79</v>
      </c>
      <c r="M78" s="2" t="s">
        <v>126</v>
      </c>
      <c r="N78" s="7"/>
      <c r="O78" s="2" t="s">
        <v>610</v>
      </c>
      <c r="P78" s="2" t="s">
        <v>323</v>
      </c>
      <c r="Q78" s="2"/>
      <c r="R78" s="2" t="s">
        <v>9</v>
      </c>
      <c r="S78" s="2" t="s">
        <v>590</v>
      </c>
    </row>
    <row r="79" spans="1:19" ht="60" customHeight="1">
      <c r="A79" s="2" t="s">
        <v>611</v>
      </c>
      <c r="B79" s="2" t="s">
        <v>362</v>
      </c>
      <c r="C79" s="2" t="s">
        <v>18</v>
      </c>
      <c r="D79" s="2" t="s">
        <v>612</v>
      </c>
      <c r="E79" s="2" t="s">
        <v>583</v>
      </c>
      <c r="F79" s="2" t="s">
        <v>584</v>
      </c>
      <c r="G79" s="2" t="s">
        <v>613</v>
      </c>
      <c r="H79" s="2" t="s">
        <v>586</v>
      </c>
      <c r="I79" s="2" t="s">
        <v>587</v>
      </c>
      <c r="J79" s="2" t="s">
        <v>9</v>
      </c>
      <c r="K79" s="2" t="s">
        <v>588</v>
      </c>
      <c r="L79" s="2" t="s">
        <v>79</v>
      </c>
      <c r="M79" s="2" t="s">
        <v>248</v>
      </c>
      <c r="N79" s="7"/>
      <c r="O79" s="2" t="s">
        <v>369</v>
      </c>
      <c r="P79" s="2" t="s">
        <v>337</v>
      </c>
      <c r="Q79" s="2"/>
      <c r="R79" s="2" t="s">
        <v>9</v>
      </c>
      <c r="S79" s="2" t="s">
        <v>590</v>
      </c>
    </row>
    <row r="80" spans="1:19" ht="60" customHeight="1">
      <c r="A80" s="2" t="s">
        <v>614</v>
      </c>
      <c r="B80" s="2" t="s">
        <v>71</v>
      </c>
      <c r="C80" s="2" t="s">
        <v>108</v>
      </c>
      <c r="D80" s="2" t="s">
        <v>615</v>
      </c>
      <c r="E80" s="2" t="s">
        <v>583</v>
      </c>
      <c r="F80" s="2" t="s">
        <v>584</v>
      </c>
      <c r="G80" s="2" t="s">
        <v>616</v>
      </c>
      <c r="H80" s="2" t="s">
        <v>586</v>
      </c>
      <c r="I80" s="2" t="s">
        <v>587</v>
      </c>
      <c r="J80" s="2" t="s">
        <v>9</v>
      </c>
      <c r="K80" s="2" t="s">
        <v>588</v>
      </c>
      <c r="L80" s="2" t="s">
        <v>79</v>
      </c>
      <c r="M80" s="2" t="s">
        <v>91</v>
      </c>
      <c r="N80" s="7"/>
      <c r="O80" s="2" t="s">
        <v>617</v>
      </c>
      <c r="P80" s="2" t="s">
        <v>489</v>
      </c>
      <c r="Q80" s="2"/>
      <c r="R80" s="2" t="s">
        <v>9</v>
      </c>
      <c r="S80" s="2" t="s">
        <v>590</v>
      </c>
    </row>
    <row r="81" spans="1:19" ht="60" customHeight="1">
      <c r="A81" s="2" t="s">
        <v>618</v>
      </c>
      <c r="B81" s="2" t="s">
        <v>215</v>
      </c>
      <c r="C81" s="2" t="s">
        <v>30</v>
      </c>
      <c r="D81" s="2" t="s">
        <v>619</v>
      </c>
      <c r="E81" s="2" t="s">
        <v>583</v>
      </c>
      <c r="F81" s="2" t="s">
        <v>584</v>
      </c>
      <c r="G81" s="2" t="s">
        <v>620</v>
      </c>
      <c r="H81" s="2" t="s">
        <v>586</v>
      </c>
      <c r="I81" s="2" t="s">
        <v>587</v>
      </c>
      <c r="J81" s="2" t="s">
        <v>9</v>
      </c>
      <c r="K81" s="2" t="s">
        <v>588</v>
      </c>
      <c r="L81" s="2" t="s">
        <v>79</v>
      </c>
      <c r="M81" s="2" t="s">
        <v>126</v>
      </c>
      <c r="N81" s="7"/>
      <c r="O81" s="2" t="s">
        <v>189</v>
      </c>
      <c r="P81" s="2" t="s">
        <v>198</v>
      </c>
      <c r="Q81" s="2"/>
      <c r="R81" s="2" t="s">
        <v>9</v>
      </c>
      <c r="S81" s="2" t="s">
        <v>590</v>
      </c>
    </row>
    <row r="82" spans="1:19" ht="60" customHeight="1">
      <c r="A82" s="2" t="s">
        <v>621</v>
      </c>
      <c r="B82" s="2" t="s">
        <v>409</v>
      </c>
      <c r="C82" s="2" t="s">
        <v>18</v>
      </c>
      <c r="D82" s="2" t="s">
        <v>622</v>
      </c>
      <c r="E82" s="2" t="s">
        <v>583</v>
      </c>
      <c r="F82" s="2" t="s">
        <v>584</v>
      </c>
      <c r="G82" s="2" t="s">
        <v>623</v>
      </c>
      <c r="H82" s="2" t="s">
        <v>586</v>
      </c>
      <c r="I82" s="2" t="s">
        <v>587</v>
      </c>
      <c r="J82" s="2" t="s">
        <v>9</v>
      </c>
      <c r="K82" s="2" t="s">
        <v>588</v>
      </c>
      <c r="L82" s="2" t="s">
        <v>79</v>
      </c>
      <c r="M82" s="2" t="s">
        <v>136</v>
      </c>
      <c r="N82" s="7"/>
      <c r="O82" s="2" t="s">
        <v>416</v>
      </c>
      <c r="P82" s="2" t="s">
        <v>99</v>
      </c>
      <c r="Q82" s="2"/>
      <c r="R82" s="2" t="s">
        <v>9</v>
      </c>
      <c r="S82" s="2" t="s">
        <v>590</v>
      </c>
    </row>
    <row r="83" spans="1:19" ht="60" customHeight="1">
      <c r="A83" s="2" t="s">
        <v>624</v>
      </c>
      <c r="B83" s="2" t="s">
        <v>21</v>
      </c>
      <c r="C83" s="2" t="s">
        <v>21</v>
      </c>
      <c r="D83" s="2" t="s">
        <v>625</v>
      </c>
      <c r="E83" s="2" t="s">
        <v>583</v>
      </c>
      <c r="F83" s="2" t="s">
        <v>584</v>
      </c>
      <c r="G83" s="2" t="s">
        <v>626</v>
      </c>
      <c r="H83" s="2" t="s">
        <v>586</v>
      </c>
      <c r="I83" s="2" t="s">
        <v>587</v>
      </c>
      <c r="J83" s="2" t="s">
        <v>9</v>
      </c>
      <c r="K83" s="2" t="s">
        <v>588</v>
      </c>
      <c r="L83" s="2" t="s">
        <v>79</v>
      </c>
      <c r="M83" s="2" t="s">
        <v>91</v>
      </c>
      <c r="N83" s="7"/>
      <c r="O83" s="2" t="s">
        <v>497</v>
      </c>
      <c r="P83" s="2" t="s">
        <v>448</v>
      </c>
      <c r="Q83" s="2"/>
      <c r="R83" s="2" t="s">
        <v>9</v>
      </c>
      <c r="S83" s="2" t="s">
        <v>590</v>
      </c>
    </row>
    <row r="84" spans="1:19" ht="6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7"/>
      <c r="O84" s="2"/>
      <c r="P84" s="2"/>
      <c r="Q84" s="2"/>
      <c r="R84" s="2"/>
      <c r="S84" s="2"/>
    </row>
  </sheetData>
  <mergeCells count="2">
    <mergeCell ref="A2:S2"/>
    <mergeCell ref="A3:S3"/>
  </mergeCells>
  <conditionalFormatting sqref="J10:K84">
    <cfRule type="containsText" dxfId="2" priority="1" operator="containsText" text="Pendiente"/>
  </conditionalFormatting>
  <conditionalFormatting sqref="K10:K84">
    <cfRule type="containsText" dxfId="1" priority="3" operator="containsText" text="No cumple"/>
    <cfRule type="containsText" dxfId="0" priority="4" operator="containsText" text="Cumple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100-000000000000}">
          <x14:formula1>
            <xm:f>Catálogos!$A$2:$A$5</xm:f>
          </x14:formula1>
          <xm:sqref>J10:J84</xm:sqref>
        </x14:dataValidation>
        <x14:dataValidation type="list" xr:uid="{00000000-0002-0000-0100-000001000000}">
          <x14:formula1>
            <xm:f>Catálogos!$B$2:$B$5</xm:f>
          </x14:formula1>
          <xm:sqref>K10:K84</xm:sqref>
        </x14:dataValidation>
        <x14:dataValidation type="list" xr:uid="{00000000-0002-0000-0100-000002000000}">
          <x14:formula1>
            <xm:f>Catálogos!$C$2:$C$5</xm:f>
          </x14:formula1>
          <xm:sqref>L10:L84</xm:sqref>
        </x14:dataValidation>
        <x14:dataValidation type="list" xr:uid="{00000000-0002-0000-0100-000003000000}">
          <x14:formula1>
            <xm:f>Catálogos!$D$2:$D$7</xm:f>
          </x14:formula1>
          <xm:sqref>M10:M84</xm:sqref>
        </x14:dataValidation>
        <x14:dataValidation type="list" xr:uid="{00000000-0002-0000-0100-000004000000}">
          <x14:formula1>
            <xm:f>Catálogos!$E$2:$E$5</xm:f>
          </x14:formula1>
          <xm:sqref>R10:R84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4CCCC"/>
  </sheetPr>
  <dimension ref="A2:J11"/>
  <sheetViews>
    <sheetView showGridLines="0" workbookViewId="0">
      <pane ySplit="6" topLeftCell="A7" activePane="bottomLeft" state="frozen"/>
      <selection pane="bottomLeft"/>
    </sheetView>
  </sheetViews>
  <sheetFormatPr baseColWidth="10" defaultColWidth="8.796875" defaultRowHeight="13.8"/>
  <cols>
    <col min="1" max="1" width="13" customWidth="1"/>
    <col min="2" max="2" width="18" customWidth="1"/>
    <col min="3" max="3" width="28" customWidth="1"/>
    <col min="4" max="4" width="44" customWidth="1"/>
    <col min="5" max="5" width="13" customWidth="1"/>
    <col min="6" max="6" width="23" customWidth="1"/>
    <col min="7" max="7" width="15" customWidth="1"/>
    <col min="8" max="8" width="17" customWidth="1"/>
    <col min="9" max="9" width="15" customWidth="1"/>
    <col min="10" max="10" width="40" customWidth="1"/>
  </cols>
  <sheetData>
    <row r="2" spans="1:10" ht="28.05" customHeight="1">
      <c r="A2" s="8" t="s">
        <v>627</v>
      </c>
      <c r="B2" s="9"/>
      <c r="C2" s="9"/>
      <c r="D2" s="9"/>
      <c r="E2" s="9"/>
      <c r="F2" s="9"/>
      <c r="G2" s="9"/>
      <c r="H2" s="9"/>
      <c r="I2" s="9"/>
      <c r="J2" s="9"/>
    </row>
    <row r="3" spans="1:10" ht="14.4">
      <c r="A3" s="13" t="s">
        <v>628</v>
      </c>
      <c r="B3" s="13"/>
      <c r="C3" s="13"/>
      <c r="D3" s="13"/>
      <c r="E3" s="13"/>
      <c r="F3" s="13"/>
      <c r="G3" s="13"/>
      <c r="H3" s="13"/>
      <c r="I3" s="13"/>
      <c r="J3" s="13"/>
    </row>
    <row r="6" spans="1:10" ht="26.4">
      <c r="A6" s="1" t="s">
        <v>52</v>
      </c>
      <c r="B6" s="1" t="s">
        <v>53</v>
      </c>
      <c r="C6" s="1" t="s">
        <v>629</v>
      </c>
      <c r="D6" s="1" t="s">
        <v>630</v>
      </c>
      <c r="E6" s="1" t="s">
        <v>631</v>
      </c>
      <c r="F6" s="1" t="s">
        <v>63</v>
      </c>
      <c r="G6" s="1" t="s">
        <v>632</v>
      </c>
      <c r="H6" s="1" t="s">
        <v>633</v>
      </c>
      <c r="I6" s="1" t="s">
        <v>634</v>
      </c>
      <c r="J6" s="1" t="s">
        <v>635</v>
      </c>
    </row>
    <row r="7" spans="1:10" ht="52.05" customHeight="1">
      <c r="A7" s="2" t="s">
        <v>293</v>
      </c>
      <c r="B7" s="2" t="s">
        <v>273</v>
      </c>
      <c r="C7" s="2" t="s">
        <v>636</v>
      </c>
      <c r="D7" s="2" t="s">
        <v>637</v>
      </c>
      <c r="E7" s="2" t="s">
        <v>638</v>
      </c>
      <c r="F7" s="2" t="s">
        <v>126</v>
      </c>
      <c r="G7" s="7">
        <v>46298</v>
      </c>
      <c r="H7" s="2" t="s">
        <v>639</v>
      </c>
      <c r="I7" s="2" t="s">
        <v>285</v>
      </c>
      <c r="J7" s="2" t="s">
        <v>640</v>
      </c>
    </row>
    <row r="8" spans="1:10" ht="52.05" customHeight="1">
      <c r="A8" s="2" t="s">
        <v>346</v>
      </c>
      <c r="B8" s="2" t="s">
        <v>339</v>
      </c>
      <c r="C8" s="2" t="s">
        <v>641</v>
      </c>
      <c r="D8" s="2" t="s">
        <v>642</v>
      </c>
      <c r="E8" s="2" t="s">
        <v>643</v>
      </c>
      <c r="F8" s="2" t="s">
        <v>248</v>
      </c>
      <c r="G8" s="7">
        <v>46297</v>
      </c>
      <c r="H8" s="2" t="s">
        <v>639</v>
      </c>
      <c r="I8" s="2" t="s">
        <v>338</v>
      </c>
      <c r="J8" s="2" t="s">
        <v>644</v>
      </c>
    </row>
    <row r="9" spans="1:10" ht="52.05" customHeight="1">
      <c r="A9" s="2" t="s">
        <v>456</v>
      </c>
      <c r="B9" s="2" t="s">
        <v>21</v>
      </c>
      <c r="C9" s="2" t="s">
        <v>645</v>
      </c>
      <c r="D9" s="2" t="s">
        <v>646</v>
      </c>
      <c r="E9" s="2" t="s">
        <v>638</v>
      </c>
      <c r="F9" s="2" t="s">
        <v>91</v>
      </c>
      <c r="G9" s="7">
        <v>46297</v>
      </c>
      <c r="H9" s="2" t="s">
        <v>639</v>
      </c>
      <c r="I9" s="2" t="s">
        <v>449</v>
      </c>
      <c r="J9" s="2" t="s">
        <v>647</v>
      </c>
    </row>
    <row r="10" spans="1:10" ht="52.05" customHeight="1">
      <c r="A10" s="2" t="s">
        <v>566</v>
      </c>
      <c r="B10" s="2" t="s">
        <v>30</v>
      </c>
      <c r="C10" s="2" t="s">
        <v>648</v>
      </c>
      <c r="D10" s="2" t="s">
        <v>649</v>
      </c>
      <c r="E10" s="2" t="s">
        <v>643</v>
      </c>
      <c r="F10" s="2" t="s">
        <v>248</v>
      </c>
      <c r="G10" s="7">
        <v>46297</v>
      </c>
      <c r="H10" s="2" t="s">
        <v>639</v>
      </c>
      <c r="I10" s="2" t="s">
        <v>568</v>
      </c>
      <c r="J10" s="2" t="s">
        <v>650</v>
      </c>
    </row>
    <row r="11" spans="1:10" ht="52.05" customHeight="1">
      <c r="A11" s="2" t="s">
        <v>577</v>
      </c>
      <c r="B11" s="2" t="s">
        <v>569</v>
      </c>
      <c r="C11" s="2" t="s">
        <v>651</v>
      </c>
      <c r="D11" s="2" t="s">
        <v>652</v>
      </c>
      <c r="E11" s="2" t="s">
        <v>638</v>
      </c>
      <c r="F11" s="2" t="s">
        <v>126</v>
      </c>
      <c r="G11" s="7">
        <v>46298</v>
      </c>
      <c r="H11" s="2" t="s">
        <v>639</v>
      </c>
      <c r="I11" s="2" t="s">
        <v>579</v>
      </c>
      <c r="J11" s="2" t="s">
        <v>653</v>
      </c>
    </row>
  </sheetData>
  <mergeCells count="2">
    <mergeCell ref="A2:J2"/>
    <mergeCell ref="A3:J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200-000000000000}">
          <x14:formula1>
            <xm:f>Catálogos!$F$2:$F$5</xm:f>
          </x14:formula1>
          <xm:sqref>E7:E11</xm:sqref>
        </x14:dataValidation>
        <x14:dataValidation type="list" xr:uid="{00000000-0002-0000-0200-000001000000}">
          <x14:formula1>
            <xm:f>Catálogos!$G$2:$G$6</xm:f>
          </x14:formula1>
          <xm:sqref>H7:H11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showGridLines="0" workbookViewId="0"/>
  </sheetViews>
  <sheetFormatPr baseColWidth="10" defaultColWidth="8.796875" defaultRowHeight="13.8"/>
  <cols>
    <col min="1" max="1" width="18" customWidth="1"/>
    <col min="2" max="2" width="22" customWidth="1"/>
    <col min="3" max="3" width="13" customWidth="1"/>
    <col min="4" max="4" width="28" customWidth="1"/>
    <col min="5" max="5" width="22" customWidth="1"/>
    <col min="6" max="6" width="13" customWidth="1"/>
    <col min="7" max="7" width="24" customWidth="1"/>
  </cols>
  <sheetData>
    <row r="1" spans="1:7">
      <c r="A1" s="1" t="s">
        <v>61</v>
      </c>
      <c r="B1" s="1" t="s">
        <v>3</v>
      </c>
      <c r="C1" s="1" t="s">
        <v>62</v>
      </c>
      <c r="D1" s="1" t="s">
        <v>63</v>
      </c>
      <c r="E1" s="1" t="s">
        <v>68</v>
      </c>
      <c r="F1" s="1" t="s">
        <v>631</v>
      </c>
      <c r="G1" s="1" t="s">
        <v>654</v>
      </c>
    </row>
    <row r="2" spans="1:7">
      <c r="A2" s="2" t="s">
        <v>9</v>
      </c>
      <c r="B2" s="2" t="s">
        <v>7</v>
      </c>
      <c r="C2" s="2" t="s">
        <v>125</v>
      </c>
      <c r="D2" s="2" t="s">
        <v>655</v>
      </c>
      <c r="E2" s="2" t="s">
        <v>83</v>
      </c>
      <c r="F2" s="2" t="s">
        <v>656</v>
      </c>
      <c r="G2" s="2" t="s">
        <v>657</v>
      </c>
    </row>
    <row r="3" spans="1:7">
      <c r="A3" s="2" t="s">
        <v>658</v>
      </c>
      <c r="B3" s="2" t="s">
        <v>292</v>
      </c>
      <c r="C3" s="2" t="s">
        <v>79</v>
      </c>
      <c r="D3" s="2" t="s">
        <v>80</v>
      </c>
      <c r="E3" s="2" t="s">
        <v>9</v>
      </c>
      <c r="F3" s="2" t="s">
        <v>643</v>
      </c>
      <c r="G3" s="2" t="s">
        <v>639</v>
      </c>
    </row>
    <row r="4" spans="1:7">
      <c r="A4" s="2" t="s">
        <v>78</v>
      </c>
      <c r="B4" s="2" t="s">
        <v>49</v>
      </c>
      <c r="C4" s="2" t="s">
        <v>106</v>
      </c>
      <c r="D4" s="2" t="s">
        <v>248</v>
      </c>
      <c r="E4" s="2" t="s">
        <v>659</v>
      </c>
      <c r="F4" s="2" t="s">
        <v>638</v>
      </c>
      <c r="G4" s="2" t="s">
        <v>660</v>
      </c>
    </row>
    <row r="5" spans="1:7">
      <c r="A5" s="2" t="s">
        <v>661</v>
      </c>
      <c r="B5" s="2" t="s">
        <v>588</v>
      </c>
      <c r="C5" s="2" t="s">
        <v>662</v>
      </c>
      <c r="D5" s="2" t="s">
        <v>91</v>
      </c>
      <c r="E5" s="2" t="s">
        <v>663</v>
      </c>
      <c r="F5" s="2" t="s">
        <v>664</v>
      </c>
      <c r="G5" s="2" t="s">
        <v>665</v>
      </c>
    </row>
    <row r="6" spans="1:7">
      <c r="A6" s="2"/>
      <c r="B6" s="2"/>
      <c r="C6" s="2"/>
      <c r="D6" s="2" t="s">
        <v>126</v>
      </c>
      <c r="E6" s="2"/>
      <c r="F6" s="2"/>
      <c r="G6" s="2" t="s">
        <v>666</v>
      </c>
    </row>
    <row r="7" spans="1:7">
      <c r="A7" s="2"/>
      <c r="B7" s="2"/>
      <c r="C7" s="2"/>
      <c r="D7" s="2" t="s">
        <v>136</v>
      </c>
      <c r="E7" s="2"/>
      <c r="F7" s="2"/>
      <c r="G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Pruebas realizadas</vt:lpstr>
      <vt:lpstr>Defectos y revalidación</vt:lpstr>
      <vt:lpstr>Catálogos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Mendoza</cp:lastModifiedBy>
  <dcterms:modified xsi:type="dcterms:W3CDTF">2026-10-01T22:34:03Z</dcterms:modified>
</cp:coreProperties>
</file>