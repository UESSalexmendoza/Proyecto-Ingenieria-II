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4b91e8ec4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 de uso" sheetId="4" r:id="R221c25040cb04e3c"/>
    <x:sheet xmlns:r="http://schemas.openxmlformats.org/officeDocument/2006/relationships" name="Resumen" sheetId="1" r:id="R95c8214c74aa4fc8"/>
    <x:sheet xmlns:r="http://schemas.openxmlformats.org/officeDocument/2006/relationships" name="Registro de cambios" sheetId="2" r:id="Rce7e7fbc4a4243d6"/>
    <x:sheet xmlns:r="http://schemas.openxmlformats.org/officeDocument/2006/relationships" name="Solicitud de cambio" sheetId="3" r:id="R2c2f2afa3a4d48b7"/>
    <x:sheet xmlns:r="http://schemas.openxmlformats.org/officeDocument/2006/relationships" name="Catálogos" sheetId="5" r:id="Rd50ced9f44454b78"/>
  </x:sheets>
</x:workbook>
</file>

<file path=xl/sharedStrings.xml><?xml version="1.0" encoding="utf-8"?>
<x:sst xmlns:x="http://schemas.openxmlformats.org/spreadsheetml/2006/main">
  <x:si>
    <x:t xml:space="preserve">Guía de uso · Gestión de cambios</x:t>
  </x:si>
  <x:si>
    <x:t xml:space="preserve">Cuándo registrar un cambio</x:t>
  </x:si>
  <x:si>
    <x:t xml:space="preserve">Registre una solicitud cuando se modifique el alcance acordado, un requisito o criterio de aceptación, una fecha comprometida, un componente técnico, un control de seguridad, una evidencia o un entregable. Las correcciones menores que no cambian la línea base pueden gestionarse como tareas o defectos en Jira.</x:t>
  </x:si>
  <x:si>
    <x:t xml:space="preserve">Reglas simples del proceso</x:t>
  </x:si>
  <x:si>
    <x:t xml:space="preserve">1</x:t>
  </x:si>
  <x:si>
    <x:t xml:space="preserve">La solicitud debe explicar qué cambia, por qué y qué elemento queda afectado.</x:t>
  </x:si>
  <x:si>
    <x:t xml:space="preserve">2</x:t>
  </x:si>
  <x:si>
    <x:t xml:space="preserve">El analista estima alcance, cronograma, costo, calidad/seguridad, riesgo y esfuerzo.</x:t>
  </x:si>
  <x:si>
    <x:t xml:space="preserve">3</x:t>
  </x:si>
  <x:si>
    <x:t xml:space="preserve">Product Owner y Scrum Master aprueban, condicionan, rechazan o devuelven para ajuste.</x:t>
  </x:si>
  <x:si>
    <x:t xml:space="preserve">4</x:t>
  </x:si>
  <x:si>
    <x:t xml:space="preserve">El tiempo objetivo de respuesta es 72 horas; una urgencia justificada puede revisarse antes.</x:t>
  </x:si>
  <x:si>
    <x:t xml:space="preserve">5</x:t>
  </x:si>
  <x:si>
    <x:t xml:space="preserve">Un cambio aprobado actualiza backlog, documentos, código y pruebas según corresponda.</x:t>
  </x:si>
  <x:si>
    <x:t xml:space="preserve">6</x:t>
  </x:si>
  <x:si>
    <x:t xml:space="preserve">Un cambio solo se cierra con evidencia y resultado de validación; rechazados y cancelados conservan trazabilidad.</x:t>
  </x:si>
  <x:si>
    <x:t xml:space="preserve">Cómo explicar los costos</x:t>
  </x:si>
  <x:si>
    <x:t xml:space="preserve">Horas internas</x:t>
  </x:si>
  <x:si>
    <x:t xml:space="preserve">Horas estimadas por rol × tarifa referencial. Si no se usa tarifa, registre solo horas y nivel de impacto.</x:t>
  </x:si>
  <x:si>
    <x:t xml:space="preserve">Servicios y licencias</x:t>
  </x:si>
  <x:si>
    <x:t xml:space="preserve">Hosting, correo, dominio, API, herramienta, suscripción o licencia adicional.</x:t>
  </x:si>
  <x:si>
    <x:t xml:space="preserve">Infraestructura / materiales</x:t>
  </x:si>
  <x:si>
    <x:t xml:space="preserve">Equipos, almacenamiento, conectividad, impresión u otros recursos necesarios.</x:t>
  </x:si>
  <x:si>
    <x:t xml:space="preserve">Retrabajo</x:t>
  </x:si>
  <x:si>
    <x:t xml:space="preserve">Horas para rehacer código, documentos, pruebas, BPMN o evidencias ya completadas.</x:t>
  </x:si>
  <x:si>
    <x:t xml:space="preserve">Contingencia</x:t>
  </x:si>
  <x:si>
    <x:t xml:space="preserve">Reserva razonable para incertidumbre; por ejemplo, 10 % del costo estimado cuando aplique.</x:t>
  </x:si>
  <x:si>
    <x:t xml:space="preserve">Costo total</x:t>
  </x:si>
  <x:si>
    <x:t xml:space="preserve">Horas × tarifa + servicios/licencias + infraestructura + retrabajo + contingencia.</x:t>
  </x:si>
  <x:si>
    <x:t xml:space="preserve">Criterio práctico de impacto de costo</x:t>
  </x:si>
  <x:si>
    <x:t xml:space="preserve">Nivel</x:t>
  </x:si>
  <x:si>
    <x:t xml:space="preserve">Criterio sugerido</x:t>
  </x:si>
  <x:si>
    <x:t xml:space="preserve">Ejemplo</x:t>
  </x:si>
  <x:si>
    <x:t xml:space="preserve">Sin impacto</x:t>
  </x:si>
  <x:si>
    <x:t xml:space="preserve">Se absorbe dentro de la tarea prevista</x:t>
  </x:si>
  <x:si>
    <x:t xml:space="preserve">Corrección menor sin horas adicionales relevantes</x:t>
  </x:si>
  <x:si>
    <x:t xml:space="preserve">Bajo</x:t>
  </x:si>
  <x:si>
    <x:t xml:space="preserve">Pocas horas; sin compras ni cambio de fecha</x:t>
  </x:si>
  <x:si>
    <x:t xml:space="preserve">Ajustar texto, estilo o validación sencilla</x:t>
  </x:si>
  <x:si>
    <x:t xml:space="preserve">Medio</x:t>
  </x:si>
  <x:si>
    <x:t xml:space="preserve">Retrabajo visible o servicio menor</x:t>
  </x:si>
  <x:si>
    <x:t xml:space="preserve">Modificar flujo, pruebas y documentación relacionada</x:t>
  </x:si>
  <x:si>
    <x:t xml:space="preserve">Alto</x:t>
  </x:si>
  <x:si>
    <x:t xml:space="preserve">Compra, muchas horas o impacto en entrega</x:t>
  </x:si>
  <x:si>
    <x:t xml:space="preserve">Nueva integración, migración o cambio sustancial de alcance</x:t>
  </x:si>
  <x:si>
    <x:t xml:space="preserve">BARRIO SOLIDARIO · Gestión de cambios</x:t>
  </x:si>
  <x:si>
    <x:t xml:space="preserve">Formato intermedio: control suficiente para auditoría, sin duplicar el detalle técnico de Jira ni del repositorio.</x:t>
  </x:si>
  <x:si>
    <x:t xml:space="preserve">Indicador</x:t>
  </x:si>
  <x:si>
    <x:t xml:space="preserve">Resultado</x:t>
  </x:si>
  <x:si>
    <x:t xml:space="preserve">Uso</x:t>
  </x:si>
  <x:si>
    <x:t xml:space="preserve">Etapa</x:t>
  </x:si>
  <x:si>
    <x:t xml:space="preserve">Responsable</x:t>
  </x:si>
  <x:si>
    <x:t xml:space="preserve">Registro mínimo</x:t>
  </x:si>
  <x:si>
    <x:t xml:space="preserve">Plazo orientativo</x:t>
  </x:si>
  <x:si>
    <x:t xml:space="preserve">Total de solicitudes</x:t>
  </x:si>
  <x:si>
    <x:t xml:space="preserve">Volumen registrado</x:t>
  </x:si>
  <x:si>
    <x:t xml:space="preserve">1. Registrar</x:t>
  </x:si>
  <x:si>
    <x:t xml:space="preserve">Solicitante</x:t>
  </x:si>
  <x:si>
    <x:t xml:space="preserve">Necesidad, justificación y referencia afectada</x:t>
  </x:si>
  <x:si>
    <x:t xml:space="preserve">Al identificar el cambio</x:t>
  </x:si>
  <x:si>
    <x:t xml:space="preserve">En análisis</x:t>
  </x:si>
  <x:si>
    <x:t xml:space="preserve">Requiere análisis</x:t>
  </x:si>
  <x:si>
    <x:t xml:space="preserve">2. Analizar</x:t>
  </x:si>
  <x:si>
    <x:t xml:space="preserve">Analista / equipo</x:t>
  </x:si>
  <x:si>
    <x:t xml:space="preserve">Impactos, riesgo, esfuerzo y costo</x:t>
  </x:si>
  <x:si>
    <x:t xml:space="preserve">Antes de decidir</x:t>
  </x:si>
  <x:si>
    <x:t xml:space="preserve">Pendientes de aprobación</x:t>
  </x:si>
  <x:si>
    <x:t xml:space="preserve">Requiere decisión</x:t>
  </x:si>
  <x:si>
    <x:t xml:space="preserve">3. Decidir</x:t>
  </x:si>
  <x:si>
    <x:t xml:space="preserve">Product Owner / Scrum Master</x:t>
  </x:si>
  <x:si>
    <x:t xml:space="preserve">Decisión, condiciones y fecha objetivo</x:t>
  </x:si>
  <x:si>
    <x:t xml:space="preserve">Hasta 72 horas</x:t>
  </x:si>
  <x:si>
    <x:t xml:space="preserve">Aprobadas</x:t>
  </x:si>
  <x:si>
    <x:t xml:space="preserve">Cambio autorizado</x:t>
  </x:si>
  <x:si>
    <x:t xml:space="preserve">4. Implementar</x:t>
  </x:si>
  <x:si>
    <x:t xml:space="preserve">Responsable asignado</x:t>
  </x:si>
  <x:si>
    <x:t xml:space="preserve">Resultado y evidencia</x:t>
  </x:si>
  <x:si>
    <x:t xml:space="preserve">Según fecha objetivo</x:t>
  </x:si>
  <x:si>
    <x:t xml:space="preserve">En implementación</x:t>
  </x:si>
  <x:si>
    <x:t xml:space="preserve">Trabajo en curso</x:t>
  </x:si>
  <x:si>
    <x:t xml:space="preserve">5. Validar</x:t>
  </x:si>
  <x:si>
    <x:t xml:space="preserve">QA / Product Owner</x:t>
  </x:si>
  <x:si>
    <x:t xml:space="preserve">Resultado de pruebas o revisión</x:t>
  </x:si>
  <x:si>
    <x:t xml:space="preserve">Antes del cierre</x:t>
  </x:si>
  <x:si>
    <x:t xml:space="preserve">En validación</x:t>
  </x:si>
  <x:si>
    <x:t xml:space="preserve">Requiere conformidad</x:t>
  </x:si>
  <x:si>
    <x:t xml:space="preserve">6. Cerrar</x:t>
  </x:si>
  <x:si>
    <x:t xml:space="preserve">Scrum Master</x:t>
  </x:si>
  <x:si>
    <x:t xml:space="preserve">Versión, fecha y observaciones</x:t>
  </x:si>
  <x:si>
    <x:t xml:space="preserve">Después de validar</x:t>
  </x:si>
  <x:si>
    <x:t xml:space="preserve">Cerradas</x:t>
  </x:si>
  <x:si>
    <x:t xml:space="preserve">Trazabilidad completa</x:t>
  </x:si>
  <x:si>
    <x:t xml:space="preserve">Vencidas abiertas</x:t>
  </x:si>
  <x:si>
    <x:t xml:space="preserve">Requiere seguimiento</x:t>
  </x:si>
  <x:si>
    <x:t xml:space="preserve">Identificación y control de versión</x:t>
  </x:si>
  <x:si>
    <x:t xml:space="preserve">Documento</x:t>
  </x:si>
  <x:si>
    <x:t xml:space="preserve">Formato de Gestión de Cambios</x:t>
  </x:si>
  <x:si>
    <x:t xml:space="preserve">Proyecto</x:t>
  </x:si>
  <x:si>
    <x:t xml:space="preserve">Barrio Solidario</x:t>
  </x:si>
  <x:si>
    <x:t xml:space="preserve">Versión vigente</x:t>
  </x:si>
  <x:si>
    <x:t xml:space="preserve">1.2.0</x:t>
  </x:si>
  <x:si>
    <x:t xml:space="preserve">Estado</x:t>
  </x:si>
  <x:si>
    <x:t xml:space="preserve">En revisión</x:t>
  </x:si>
  <x:si>
    <x:t xml:space="preserve">Fecha de actualización</x:t>
  </x:si>
  <x:si>
    <x:t xml:space="preserve">Propietario</x:t>
  </x:si>
  <x:si>
    <x:t xml:space="preserve">Víctor Tello Bravo / Product Owner</x:t>
  </x:si>
  <x:si>
    <x:t xml:space="preserve">Consolidación</x:t>
  </x:si>
  <x:si>
    <x:t xml:space="preserve">Alex Mendoza Morante / Scrum Master</x:t>
  </x:si>
  <x:si>
    <x:t xml:space="preserve">Versión</x:t>
  </x:si>
  <x:si>
    <x:t xml:space="preserve">Fecha</x:t>
  </x:si>
  <x:si>
    <x:t xml:space="preserve">Descripción</x:t>
  </x:si>
  <x:si>
    <x:t xml:space="preserve">0.9.0</x:t>
  </x:si>
  <x:si>
    <x:t xml:space="preserve">Revisión integral del formato</x:t>
  </x:si>
  <x:si>
    <x:t xml:space="preserve">Alex Mendoza</x:t>
  </x:si>
  <x:si>
    <x:t xml:space="preserve">Revisado</x:t>
  </x:si>
  <x:si>
    <x:t xml:space="preserve">1.0.0</x:t>
  </x:si>
  <x:si>
    <x:t xml:space="preserve">Versión consolidada del Sprint 3</x:t>
  </x:si>
  <x:si>
    <x:t xml:space="preserve">Alex Mendoza / Kevin Carriel</x:t>
  </x:si>
  <x:si>
    <x:t xml:space="preserve">Completado</x:t>
  </x:si>
  <x:si>
    <x:t xml:space="preserve">1.1.0</x:t>
  </x:si>
  <x:si>
    <x:t xml:space="preserve">Ampliación de datos, QA y constancias</x:t>
  </x:si>
  <x:si>
    <x:t xml:space="preserve">Simplificación: 29 campos esenciales, formulario breve y guía de uso</x:t>
  </x:si>
  <x:si>
    <x:t xml:space="preserve">Registro y seguimiento de solicitudes de cambio</x:t>
  </x:si>
  <x:si>
    <x:t xml:space="preserve">Un renglón por solicitud. El detalle técnico permanece en Jira, Git o la evidencia enlazada.</x:t>
  </x:si>
  <x:si>
    <x:t xml:space="preserve">CONTROL GENERAL</x:t>
  </x:si>
  <x:si>
    <x:t xml:space="preserve">Total</x:t>
  </x:si>
  <x:si>
    <x:t xml:space="preserve">Pend. aprobación</x:t>
  </x:si>
  <x:si>
    <x:t xml:space="preserve">Aprobados</x:t>
  </x:si>
  <x:si>
    <x:t xml:space="preserve">Cerrados</x:t>
  </x:si>
  <x:si>
    <x:t xml:space="preserve">Rechazados</x:t>
  </x:si>
  <x:si>
    <x:t xml:space="preserve">Vencidos</x:t>
  </x:si>
  <x:si>
    <x:t xml:space="preserve">Riesgo crítico</x:t>
  </x:si>
  <x:si>
    <x:t xml:space="preserve">Costo alto</x:t>
  </x:si>
  <x:si>
    <x:t xml:space="preserve">Impacto de costo: marque Sin impacto/Bajo/Medio/Alto y explique la estimación en Observaciones (horas × tarifa referencial + licencias/servicios + contingencia). No es necesario registrar valores personales si el curso no los exige.</x:t>
  </x:si>
  <x:si>
    <x:t xml:space="preserve">Código</x:t>
  </x:si>
  <x:si>
    <x:t xml:space="preserve">Fecha solicitud</x:t>
  </x:si>
  <x:si>
    <x:t xml:space="preserve">Tipo</x:t>
  </x:si>
  <x:si>
    <x:t xml:space="preserve">Título</x:t>
  </x:si>
  <x:si>
    <x:t xml:space="preserve">Descripción y justificación</x:t>
  </x:si>
  <x:si>
    <x:t xml:space="preserve">Elemento / referencia afectada</x:t>
  </x:si>
  <x:si>
    <x:t xml:space="preserve">Prioridad</x:t>
  </x:si>
  <x:si>
    <x:t xml:space="preserve">Impacto alcance</x:t>
  </x:si>
  <x:si>
    <x:t xml:space="preserve">Impacto cronograma</x:t>
  </x:si>
  <x:si>
    <x:t xml:space="preserve">Impacto costo</x:t>
  </x:si>
  <x:si>
    <x:t xml:space="preserve">Impacto calidad y seguridad</x:t>
  </x:si>
  <x:si>
    <x:t xml:space="preserve">Probabilidad</x:t>
  </x:si>
  <x:si>
    <x:t xml:space="preserve">Impacto general</x:t>
  </x:si>
  <x:si>
    <x:t xml:space="preserve">Exposición</x:t>
  </x:si>
  <x:si>
    <x:t xml:space="preserve">Esfuerzo estimado (h)</x:t>
  </x:si>
  <x:si>
    <x:t xml:space="preserve">Analista</x:t>
  </x:si>
  <x:si>
    <x:t xml:space="preserve">Aprobador</x:t>
  </x:si>
  <x:si>
    <x:t xml:space="preserve">Decisión</x:t>
  </x:si>
  <x:si>
    <x:t xml:space="preserve">Responsable implementación</x:t>
  </x:si>
  <x:si>
    <x:t xml:space="preserve">Fecha objetivo</x:t>
  </x:si>
  <x:si>
    <x:t xml:space="preserve">Fecha implementación</x:t>
  </x:si>
  <x:si>
    <x:t xml:space="preserve">Resultado validación</x:t>
  </x:si>
  <x:si>
    <x:t xml:space="preserve">Evidencia / enlace</x:t>
  </x:si>
  <x:si>
    <x:t xml:space="preserve">Versión resultante</x:t>
  </x:si>
  <x:si>
    <x:t xml:space="preserve">Fecha cierre</x:t>
  </x:si>
  <x:si>
    <x:t xml:space="preserve">Observaciones</x:t>
  </x:si>
  <x:si>
    <x:t xml:space="preserve">Solicitud y evaluación breve de cambio</x:t>
  </x:si>
  <x:si>
    <x:t xml:space="preserve">Complete esta hoja para cambios relevantes. Después de la decisión, transcriba el resumen al Registro de cambios y enlace la evidencia.</x:t>
  </x:si>
  <x:si>
    <x:t xml:space="preserve">1. Identificación</x:t>
  </x:si>
  <x:si>
    <x:t xml:space="preserve">2. Impacto, riesgo y costo</x:t>
  </x:si>
  <x:si>
    <x:t xml:space="preserve">Criterio de aceptación</x:t>
  </x:si>
  <x:si>
    <x:t xml:space="preserve">Impacto en alcance</x:t>
  </x:si>
  <x:si>
    <x:t xml:space="preserve">Impacto en cronograma</x:t>
  </x:si>
  <x:si>
    <x:t xml:space="preserve">Impacto en costo</x:t>
  </x:si>
  <x:si>
    <x:t xml:space="preserve">Impacto en calidad y seguridad</x:t>
  </x:si>
  <x:si>
    <x:t xml:space="preserve">Probabilidad (1–5)</x:t>
  </x:si>
  <x:si>
    <x:t xml:space="preserve">Impacto general (1–5)</x:t>
  </x:si>
  <x:si>
    <x:t xml:space="preserve">Riesgos / dependencias / contingencia</x:t>
  </x:si>
  <x:si>
    <x:t xml:space="preserve">3. Decisión y planificación</x:t>
  </x:si>
  <x:si>
    <x:t xml:space="preserve">Fecha decisión</x:t>
  </x:si>
  <x:si>
    <x:t xml:space="preserve">Versión objetivo</x:t>
  </x:si>
  <x:si>
    <x:t xml:space="preserve">Condiciones / motivo / plan</x:t>
  </x:si>
  <x:si>
    <x:t xml:space="preserve">4. Implementación y cierre</x:t>
  </x:si>
  <x:si>
    <x:t xml:space="preserve">Resultado implementado</x:t>
  </x:si>
  <x:si>
    <x:t xml:space="preserve">Observaciones y lecciones</x:t>
  </x:si>
  <x:si>
    <x:t xml:space="preserve">Nivel de impacto</x:t>
  </x:si>
  <x:si>
    <x:t xml:space="preserve">Validación</x:t>
  </x:si>
  <x:si>
    <x:t xml:space="preserve">Nivel de riesgo</x:t>
  </x:si>
  <x:si>
    <x:t xml:space="preserve">Responsables</x:t>
  </x:si>
  <x:si>
    <x:t xml:space="preserve">Software</x:t>
  </x:si>
  <x:si>
    <x:t xml:space="preserve">Highest</x:t>
  </x:si>
  <x:si>
    <x:t xml:space="preserve">Aprobar</x:t>
  </x:si>
  <x:si>
    <x:t xml:space="preserve">Registrado</x:t>
  </x:si>
  <x:si>
    <x:t xml:space="preserve">Pendiente</x:t>
  </x:si>
  <x:si>
    <x:t xml:space="preserve">Alex Mendoza Morante</x:t>
  </x:si>
  <x:si>
    <x:t xml:space="preserve">Documentación</x:t>
  </x:si>
  <x:si>
    <x:t xml:space="preserve">High</x:t>
  </x:si>
  <x:si>
    <x:t xml:space="preserve">Aprobar con condiciones</x:t>
  </x:si>
  <x:si>
    <x:t xml:space="preserve">Conforme</x:t>
  </x:si>
  <x:si>
    <x:t xml:space="preserve">Víctor Tello Bravo</x:t>
  </x:si>
  <x:si>
    <x:t xml:space="preserve">Configuración</x:t>
  </x:si>
  <x:si>
    <x:t xml:space="preserve">Low</x:t>
  </x:si>
  <x:si>
    <x:t xml:space="preserve">Rechazar</x:t>
  </x:si>
  <x:si>
    <x:t xml:space="preserve">Pendiente de aprobación</x:t>
  </x:si>
  <x:si>
    <x:t xml:space="preserve">Con observaciones</x:t>
  </x:si>
  <x:si>
    <x:t xml:space="preserve">Kevin Carriel Bonoso</x:t>
  </x:si>
  <x:si>
    <x:t xml:space="preserve">Base de datos</x:t>
  </x:si>
  <x:si>
    <x:t xml:space="preserve">Lowest</x:t>
  </x:si>
  <x:si>
    <x:t xml:space="preserve">Devolver para ajuste</x:t>
  </x:si>
  <x:si>
    <x:t xml:space="preserve">Aprobado</x:t>
  </x:si>
  <x:si>
    <x:t xml:space="preserve">No conforme</x:t>
  </x:si>
  <x:si>
    <x:t xml:space="preserve">Crítico</x:t>
  </x:si>
  <x:si>
    <x:t xml:space="preserve">Mario Luzardo Fierro</x:t>
  </x:si>
  <x:si>
    <x:t xml:space="preserve">Interfaz / UX</x:t>
  </x:si>
  <x:si>
    <x:t xml:space="preserve">Planificado</x:t>
  </x:si>
  <x:si>
    <x:t xml:space="preserve">No aplica</x:t>
  </x:si>
  <x:si>
    <x:t xml:space="preserve">Luis Ramírez Conejo</x:t>
  </x:si>
  <x:si>
    <x:t xml:space="preserve">Seguridad</x:t>
  </x:si>
  <x:si>
    <x:t xml:space="preserve">Luis Rodríguez Barrera</x:t>
  </x:si>
  <x:si>
    <x:t xml:space="preserve">Infraestructura</x:t>
  </x:si>
  <x:si>
    <x:t xml:space="preserve">Ing. Victoria García Velásquez</x:t>
  </x:si>
  <x:si>
    <x:t xml:space="preserve">Proceso</x:t>
  </x:si>
  <x:si>
    <x:t xml:space="preserve">Cerrado</x:t>
  </x:si>
  <x:si>
    <x:t xml:space="preserve">Rechazado</x:t>
  </x:si>
  <x:si>
    <x:t xml:space="preserve">Cancelado</x:t>
  </x:si>
  <x:si>
    <x:t xml:space="preserve">Suspendido</x:t>
  </x:si>
</x:sst>
</file>

<file path=xl/styles.xml><?xml version="1.0" encoding="utf-8"?>
<x:styleSheet xmlns:x="http://schemas.openxmlformats.org/spreadsheetml/2006/main">
  <x:numFmts count="1">
    <x:numFmt numFmtId="200" formatCode="dd/mm/yyyy"/>
  </x:numFmts>
  <x:fonts count="10">
    <x:font>
      <x:sz val="11"/>
      <x:name val="Carlito"/>
    </x:font>
    <x:font>
      <x:b/>
      <x:sz val="18"/>
      <x:color rgb="FFFFFFFF"/>
      <x:name val="Arial"/>
    </x:font>
    <x:font>
      <x:sz val="11"/>
      <x:name val="Arial"/>
    </x:font>
    <x:font>
      <x:i/>
      <x:sz val="11"/>
      <x:color rgb="FF212937"/>
      <x:name val="Arial"/>
    </x:font>
    <x:font>
      <x:b/>
      <x:sz val="11"/>
      <x:color rgb="FFFFFFFF"/>
      <x:name val="Arial"/>
    </x:font>
    <x:font>
      <x:b/>
      <x:sz val="11"/>
      <x:color rgb="FF212937"/>
      <x:name val="Arial"/>
    </x:font>
    <x:font>
      <x:b/>
      <x:sz val="14"/>
      <x:color rgb="FF2A3966"/>
      <x:name val="Arial"/>
    </x:font>
    <x:font>
      <x:sz val="11"/>
      <x:color rgb="FF212937"/>
      <x:name val="Arial"/>
    </x:font>
    <x:font>
      <x:b/>
      <x:sz val="12"/>
      <x:color rgb="FFFFFFFF"/>
      <x:name val="Arial"/>
    </x:font>
    <x:font>
      <x:b/>
      <x:sz val="11"/>
      <x:color rgb="FF2A396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A3966"/>
      </x:patternFill>
    </x:fill>
    <x:fill>
      <x:patternFill patternType="solid">
        <x:fgColor rgb="FFF6F7FA"/>
      </x:patternFill>
    </x:fill>
    <x:fill>
      <x:patternFill patternType="solid">
        <x:fgColor rgb="FFE9EBF0"/>
      </x:patternFill>
    </x:fill>
    <x:fill>
      <x:patternFill patternType="solid">
        <x:fgColor rgb="FFFFFFFF"/>
      </x:patternFill>
    </x:fill>
    <x:fill>
      <x:patternFill patternType="solid">
        <x:fgColor rgb="FFC92351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BDC8"/>
      </x:left>
      <x:right style="thin">
        <x:color rgb="FFB7BDC8"/>
      </x:right>
      <x:top style="thin">
        <x:color rgb="FFB7BDC8"/>
      </x:top>
      <x:bottom style="thin">
        <x:color rgb="FFB7BDC8"/>
      </x:bottom>
    </x:border>
    <x:border>
      <x:right style="thin">
        <x:color rgb="FFFFFFFF"/>
      </x:right>
    </x:border>
    <x:border>
      <x:left style="thin">
        <x:color rgb="FFB7BDC8"/>
      </x:left>
      <x:top style="thin">
        <x:color rgb="FFB7BDC8"/>
      </x:top>
      <x:bottom style="thin">
        <x:color rgb="FFB7BDC8"/>
      </x:bottom>
    </x:border>
    <x:border>
      <x:right style="thin">
        <x:color rgb="FFB7BDC8"/>
      </x:right>
      <x:top style="thin">
        <x:color rgb="FFB7BDC8"/>
      </x:top>
      <x:bottom style="thin">
        <x:color rgb="FFB7BDC8"/>
      </x:bottom>
    </x:border>
    <x:border>
      <x:left style="thin">
        <x:color rgb="FFFFFFFF"/>
      </x:left>
    </x:border>
    <x:border>
      <x:top style="thin">
        <x:color rgb="FFB7BDC8"/>
      </x:top>
      <x:bottom style="thin">
        <x:color rgb="FFB7BDC8"/>
      </x:bottom>
    </x:border>
    <x:border>
      <x:bottom style="thin">
        <x:color rgb="FFB7BDC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2" fillId="0" borderId="0" xfId="0" applyFont="1"/>
    <x:xf numFmtId="0" fontId="4" fillId="2" borderId="1" xfId="0" applyFont="1" applyFill="1" applyBorder="1" applyAlignment="1">
      <x:alignment horizontal="center" vertical="center" wrapText="1"/>
    </x:xf>
    <x:xf numFmtId="0" fontId="5" fillId="4" borderId="2" xfId="0" applyFont="1" applyFill="1" applyBorder="1" applyAlignment="1">
      <x:alignment vertical="center" wrapText="1"/>
    </x:xf>
    <x:xf numFmtId="0" fontId="6" fillId="5" borderId="2" xfId="0" applyFont="1" applyFill="1" applyBorder="1" applyAlignment="1">
      <x:alignment horizontal="center" vertical="top" wrapText="1"/>
    </x:xf>
    <x:xf numFmtId="0" fontId="7" fillId="5" borderId="2" xfId="0" applyFont="1" applyFill="1" applyBorder="1" applyAlignment="1">
      <x:alignment vertical="top" wrapText="1"/>
    </x:xf>
    <x:xf numFmtId="14" fontId="7" fillId="5" borderId="2" xfId="0" applyNumberFormat="1" applyFont="1" applyFill="1" applyBorder="1" applyAlignment="1">
      <x:alignment vertical="top" wrapText="1"/>
    </x:xf>
    <x:xf numFmtId="0" fontId="9" fillId="5" borderId="2" xfId="0" applyFont="1" applyFill="1" applyBorder="1" applyAlignment="1">
      <x:alignment horizontal="center" vertical="top" wrapText="1"/>
    </x:xf>
    <x:xf numFmtId="0" fontId="1" fillId="2" borderId="0" xfId="0" applyFont="1" applyFill="1" applyAlignment="1">
      <x:alignment horizontal="left" vertical="center"/>
    </x:xf>
    <x:xf numFmtId="0" fontId="2" fillId="0" borderId="0" xfId="0" applyFont="1"/>
    <x:xf numFmtId="0" fontId="3" fillId="3" borderId="0" xfId="0" applyFont="1" applyFill="1" applyAlignment="1">
      <x:alignment wrapText="1"/>
    </x:xf>
    <x:xf numFmtId="0" fontId="8" fillId="6" borderId="0" xfId="0" applyFont="1" applyFill="1" applyAlignment="1">
      <x:alignment vertical="center"/>
    </x:xf>
    <x:xf numFmtId="0" fontId="4" fillId="6" borderId="0" xfId="0" applyFont="1" applyFill="1" applyAlignment="1">
      <x:alignment horizontal="center"/>
    </x:xf>
    <x:xf numFmtId="0" fontId="5" fillId="7" borderId="0" xfId="0" applyFont="1" applyFill="1" applyAlignment="1">
      <x:alignment wrapText="1"/>
    </x:xf>
    <x:xf numFmtId="0" fontId="7" fillId="5" borderId="2" xfId="0" applyFont="1" applyFill="1" applyBorder="1" applyAlignment="1">
      <x:alignment vertical="top" wrapText="1"/>
    </x:xf>
    <x:xf numFmtId="14" fontId="7" fillId="5" borderId="2" xfId="0" applyNumberFormat="1" applyFont="1" applyFill="1" applyBorder="1" applyAlignment="1">
      <x:alignment vertical="top" wrapText="1"/>
    </x:xf>
    <x:xf numFmtId="0" fontId="4" fillId="2" borderId="1" xfId="0" applyFont="1" applyFill="1" applyBorder="1" applyAlignment="1">
      <x:alignment horizontal="center" vertical="center" wrapText="1"/>
    </x:xf>
    <x:xf numFmtId="0" fontId="7" fillId="5" borderId="0" xfId="0" applyFont="1" applyFill="1" applyBorder="1" applyAlignment="1">
      <x:alignment vertical="top" wrapText="1"/>
    </x:xf>
    <x:xf numFmtId="0" fontId="7" fillId="5" borderId="4" xfId="0" applyFont="1" applyFill="1" applyBorder="1" applyAlignment="1">
      <x:alignment horizontal="left" vertical="top" wrapText="1"/>
    </x:xf>
    <x:xf numFmtId="0" fontId="7" fillId="5" borderId="5" xfId="0" applyFont="1" applyFill="1" applyBorder="1" applyAlignment="1">
      <x:alignment horizontal="left" vertical="top" wrapText="1"/>
    </x:xf>
    <x:xf numFmtId="0" fontId="7" fillId="5" borderId="4" xfId="0" applyFont="1" applyFill="1" applyBorder="1" applyAlignment="1">
      <x:alignment horizontal="left" vertical="center" wrapText="1"/>
    </x:xf>
    <x:xf numFmtId="0" fontId="7" fillId="5" borderId="5" xfId="0" applyFont="1" applyFill="1" applyBorder="1" applyAlignment="1">
      <x:alignment horizontal="left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7" fillId="5" borderId="2" xfId="0" applyFont="1" applyFill="1" applyBorder="1" applyAlignment="1">
      <x:alignment horizontal="left" vertical="top" wrapText="1"/>
    </x:xf>
    <x:xf numFmtId="0" fontId="2" fillId="0" borderId="0" xfId="0" applyFont="1" applyAlignment="1"/>
    <x:xf numFmtId="0" fontId="8" fillId="6" borderId="8" xfId="0" applyFont="1" applyFill="1" applyBorder="1" applyAlignment="1">
      <x:alignment horizontal="center" vertical="center"/>
    </x:xf>
    <x:xf numFmtId="0" fontId="7" fillId="5" borderId="7" xfId="0" applyFont="1" applyFill="1" applyBorder="1" applyAlignment="1">
      <x:alignment horizontal="left" vertical="center" wrapText="1"/>
    </x:xf>
    <x:xf numFmtId="200" fontId="7" fillId="5" borderId="2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2e7bdea7e4dbd" /><Relationship Type="http://schemas.openxmlformats.org/officeDocument/2006/relationships/theme" Target="/xl/theme/theme1.xml" Id="R8d354b4638fe44b7" /><Relationship Type="http://schemas.openxmlformats.org/officeDocument/2006/relationships/sharedStrings" Target="/xl/sharedStrings.xml" Id="Rbd2f21b48ed944e0" /><Relationship Type="http://schemas.openxmlformats.org/officeDocument/2006/relationships/worksheet" Target="/xl/worksheets/sheet1.xml" Id="R221c25040cb04e3c" /><Relationship Type="http://schemas.openxmlformats.org/officeDocument/2006/relationships/worksheet" Target="/xl/worksheets/sheet2.xml" Id="R95c8214c74aa4fc8" /><Relationship Type="http://schemas.openxmlformats.org/officeDocument/2006/relationships/worksheet" Target="/xl/worksheets/sheet3.xml" Id="Rce7e7fbc4a4243d6" /><Relationship Type="http://schemas.openxmlformats.org/officeDocument/2006/relationships/worksheet" Target="/xl/worksheets/sheet4.xml" Id="R2c2f2afa3a4d48b7" /><Relationship Type="http://schemas.openxmlformats.org/officeDocument/2006/relationships/worksheet" Target="/xl/worksheets/sheet5.xml" Id="Rd50ced9f44454b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A3966"/>
  </x:sheetPr>
  <x:sheetViews>
    <x:sheetView showGridLines="0" workbookViewId="0">
      <x:pane ySplit="3" topLeftCell="A4" activePane="bottomLeft" state="frozen"/>
    </x:sheetView>
  </x:sheetViews>
  <x:sheetFormatPr baseColWidth="10" defaultColWidth="8.796875" defaultRowHeight="13.800000190734863"/>
  <x:cols>
    <x:col min="2" max="2" width="22" customWidth="1"/>
    <x:col min="3" max="8" width="18" customWidth="1"/>
  </x:cols>
  <x:sheetData>
    <x:row r="2" ht="31.950000762939453" customHeight="1">
      <x:c r="B2" s="8" t="s">
        <x:v>0</x:v>
      </x:c>
      <x:c r="C2" s="9"/>
      <x:c r="D2" s="9"/>
      <x:c r="E2" s="9"/>
      <x:c r="F2" s="9"/>
      <x:c r="G2" s="9"/>
      <x:c r="H2" s="9"/>
    </x:row>
    <x:row r="3" ht="31.950000762939453" customHeight="1">
      <x:c r="B3" s="9"/>
      <x:c r="C3" s="9"/>
      <x:c r="D3" s="9"/>
      <x:c r="E3" s="9"/>
      <x:c r="F3" s="9"/>
      <x:c r="G3" s="9"/>
      <x:c r="H3" s="9"/>
    </x:row>
    <x:row r="4">
      <x:c r="B4" s="1"/>
      <x:c r="C4" s="1"/>
      <x:c r="D4" s="1"/>
      <x:c r="E4" s="1"/>
      <x:c r="F4" s="1"/>
      <x:c r="G4" s="1"/>
      <x:c r="H4" s="1"/>
    </x:row>
    <x:row r="5" ht="24" customHeight="1">
      <x:c r="B5" s="11" t="s">
        <x:v>1</x:v>
      </x:c>
      <x:c r="C5" s="9"/>
      <x:c r="D5" s="9"/>
      <x:c r="E5" s="9"/>
      <x:c r="F5" s="9"/>
      <x:c r="G5" s="9"/>
      <x:c r="H5" s="9"/>
    </x:row>
    <x:row r="6">
      <x:c r="B6" s="14" t="s">
        <x:v>2</x:v>
      </x:c>
      <x:c r="C6" s="14"/>
      <x:c r="D6" s="14"/>
      <x:c r="E6" s="14"/>
      <x:c r="F6" s="14"/>
      <x:c r="G6" s="14"/>
      <x:c r="H6" s="14"/>
    </x:row>
    <x:row r="7">
      <x:c r="B7" s="14"/>
      <x:c r="C7" s="14"/>
      <x:c r="D7" s="14"/>
      <x:c r="E7" s="14"/>
      <x:c r="F7" s="14"/>
      <x:c r="G7" s="14"/>
      <x:c r="H7" s="14"/>
    </x:row>
    <x:row r="8">
      <x:c r="B8" s="14"/>
      <x:c r="C8" s="14"/>
      <x:c r="D8" s="14"/>
      <x:c r="E8" s="14"/>
      <x:c r="F8" s="14"/>
      <x:c r="G8" s="14"/>
      <x:c r="H8" s="14"/>
    </x:row>
    <x:row r="9">
      <x:c r="B9" s="1"/>
      <x:c r="C9" s="1"/>
      <x:c r="D9" s="1"/>
      <x:c r="E9" s="1"/>
      <x:c r="F9" s="1"/>
      <x:c r="G9" s="1"/>
      <x:c r="H9" s="1"/>
    </x:row>
    <x:row r="10" ht="24" customHeight="1">
      <x:c r="B10" s="11" t="s">
        <x:v>3</x:v>
      </x:c>
      <x:c r="C10" s="9"/>
      <x:c r="D10" s="9"/>
      <x:c r="E10" s="9"/>
      <x:c r="F10" s="9"/>
      <x:c r="G10" s="9"/>
      <x:c r="H10" s="9"/>
    </x:row>
    <x:row r="11">
      <x:c r="B11" s="3" t="s">
        <x:v>4</x:v>
      </x:c>
      <x:c r="C11" s="14" t="s">
        <x:v>5</x:v>
      </x:c>
      <x:c r="D11" s="9"/>
      <x:c r="E11" s="9"/>
      <x:c r="F11" s="9"/>
      <x:c r="G11" s="9"/>
      <x:c r="H11" s="9"/>
    </x:row>
    <x:row r="12">
      <x:c r="B12" s="3" t="s">
        <x:v>6</x:v>
      </x:c>
      <x:c r="C12" s="14" t="s">
        <x:v>7</x:v>
      </x:c>
      <x:c r="D12" s="9"/>
      <x:c r="E12" s="9"/>
      <x:c r="F12" s="9"/>
      <x:c r="G12" s="9"/>
      <x:c r="H12" s="9"/>
    </x:row>
    <x:row r="13">
      <x:c r="B13" s="3" t="s">
        <x:v>8</x:v>
      </x:c>
      <x:c r="C13" s="14" t="s">
        <x:v>9</x:v>
      </x:c>
      <x:c r="D13" s="9"/>
      <x:c r="E13" s="9"/>
      <x:c r="F13" s="9"/>
      <x:c r="G13" s="9"/>
      <x:c r="H13" s="9"/>
    </x:row>
    <x:row r="14">
      <x:c r="B14" s="3" t="s">
        <x:v>10</x:v>
      </x:c>
      <x:c r="C14" s="14" t="s">
        <x:v>11</x:v>
      </x:c>
      <x:c r="D14" s="9"/>
      <x:c r="E14" s="9"/>
      <x:c r="F14" s="9"/>
      <x:c r="G14" s="9"/>
      <x:c r="H14" s="9"/>
    </x:row>
    <x:row r="15">
      <x:c r="B15" s="3" t="s">
        <x:v>12</x:v>
      </x:c>
      <x:c r="C15" s="14" t="s">
        <x:v>13</x:v>
      </x:c>
      <x:c r="D15" s="9"/>
      <x:c r="E15" s="9"/>
      <x:c r="F15" s="9"/>
      <x:c r="G15" s="9"/>
      <x:c r="H15" s="9"/>
    </x:row>
    <x:row r="16">
      <x:c r="B16" s="3" t="s">
        <x:v>14</x:v>
      </x:c>
      <x:c r="C16" s="14" t="s">
        <x:v>15</x:v>
      </x:c>
      <x:c r="D16" s="9"/>
      <x:c r="E16" s="9"/>
      <x:c r="F16" s="9"/>
      <x:c r="G16" s="9"/>
      <x:c r="H16" s="9"/>
    </x:row>
    <x:row r="17">
      <x:c r="B17" s="1"/>
      <x:c r="C17" s="1"/>
      <x:c r="D17" s="1"/>
      <x:c r="E17" s="1"/>
      <x:c r="F17" s="1"/>
      <x:c r="G17" s="1"/>
      <x:c r="H17" s="1"/>
    </x:row>
    <x:row r="18" ht="24" customHeight="1">
      <x:c r="B18" s="11" t="s">
        <x:v>16</x:v>
      </x:c>
      <x:c r="C18" s="9"/>
      <x:c r="D18" s="9"/>
      <x:c r="E18" s="9"/>
      <x:c r="F18" s="9"/>
      <x:c r="G18" s="9"/>
      <x:c r="H18" s="9"/>
    </x:row>
    <x:row r="19">
      <x:c r="B19" s="3" t="s">
        <x:v>17</x:v>
      </x:c>
      <x:c r="C19" s="14" t="s">
        <x:v>18</x:v>
      </x:c>
      <x:c r="D19" s="9"/>
      <x:c r="E19" s="9"/>
      <x:c r="F19" s="9"/>
      <x:c r="G19" s="9"/>
      <x:c r="H19" s="9"/>
    </x:row>
    <x:row r="20">
      <x:c r="B20" s="3" t="s">
        <x:v>19</x:v>
      </x:c>
      <x:c r="C20" s="14" t="s">
        <x:v>20</x:v>
      </x:c>
      <x:c r="D20" s="9"/>
      <x:c r="E20" s="9"/>
      <x:c r="F20" s="9"/>
      <x:c r="G20" s="9"/>
      <x:c r="H20" s="9"/>
    </x:row>
    <x:row r="21" ht="27.600000381469727">
      <x:c r="B21" s="3" t="s">
        <x:v>21</x:v>
      </x:c>
      <x:c r="C21" s="14" t="s">
        <x:v>22</x:v>
      </x:c>
      <x:c r="D21" s="9"/>
      <x:c r="E21" s="9"/>
      <x:c r="F21" s="9"/>
      <x:c r="G21" s="9"/>
      <x:c r="H21" s="9"/>
    </x:row>
    <x:row r="22">
      <x:c r="B22" s="3" t="s">
        <x:v>23</x:v>
      </x:c>
      <x:c r="C22" s="14" t="s">
        <x:v>24</x:v>
      </x:c>
      <x:c r="D22" s="9"/>
      <x:c r="E22" s="9"/>
      <x:c r="F22" s="9"/>
      <x:c r="G22" s="9"/>
      <x:c r="H22" s="9"/>
    </x:row>
    <x:row r="23">
      <x:c r="B23" s="3" t="s">
        <x:v>25</x:v>
      </x:c>
      <x:c r="C23" s="14" t="s">
        <x:v>26</x:v>
      </x:c>
      <x:c r="D23" s="9"/>
      <x:c r="E23" s="9"/>
      <x:c r="F23" s="9"/>
      <x:c r="G23" s="9"/>
      <x:c r="H23" s="9"/>
    </x:row>
    <x:row r="24">
      <x:c r="B24" s="3" t="s">
        <x:v>27</x:v>
      </x:c>
      <x:c r="C24" s="14" t="s">
        <x:v>28</x:v>
      </x:c>
      <x:c r="D24" s="9"/>
      <x:c r="E24" s="9"/>
      <x:c r="F24" s="9"/>
      <x:c r="G24" s="9"/>
      <x:c r="H24" s="9"/>
    </x:row>
    <x:row r="25">
      <x:c r="B25" s="1"/>
      <x:c r="C25" s="1"/>
      <x:c r="D25" s="1"/>
      <x:c r="E25" s="1"/>
      <x:c r="F25" s="1"/>
      <x:c r="G25" s="1"/>
      <x:c r="H25" s="1"/>
    </x:row>
    <x:row r="26" ht="24" customHeight="1">
      <x:c r="B26" s="11" t="s">
        <x:v>29</x:v>
      </x:c>
      <x:c r="C26" s="9"/>
      <x:c r="D26" s="9"/>
      <x:c r="E26" s="9"/>
      <x:c r="F26" s="9"/>
      <x:c r="G26" s="9"/>
      <x:c r="H26" s="9"/>
    </x:row>
    <x:row r="27">
      <x:c r="B27" s="2" t="s">
        <x:v>30</x:v>
      </x:c>
      <x:c r="C27" s="16" t="s">
        <x:v>31</x:v>
      </x:c>
      <x:c r="D27" s="16"/>
      <x:c r="E27" s="16" t="s">
        <x:v>32</x:v>
      </x:c>
      <x:c r="F27" s="16"/>
      <x:c r="G27" s="16"/>
      <x:c r="H27" s="16"/>
    </x:row>
    <x:row r="28">
      <x:c r="B28" s="5" t="s">
        <x:v>33</x:v>
      </x:c>
      <x:c r="C28" s="14" t="s">
        <x:v>34</x:v>
      </x:c>
      <x:c r="D28" s="14"/>
      <x:c r="E28" s="14" t="s">
        <x:v>35</x:v>
      </x:c>
      <x:c r="F28" s="14"/>
      <x:c r="G28" s="14"/>
      <x:c r="H28" s="14"/>
    </x:row>
    <x:row r="29">
      <x:c r="B29" s="5" t="s">
        <x:v>36</x:v>
      </x:c>
      <x:c r="C29" s="14" t="s">
        <x:v>37</x:v>
      </x:c>
      <x:c r="D29" s="14"/>
      <x:c r="E29" s="14" t="s">
        <x:v>38</x:v>
      </x:c>
      <x:c r="F29" s="14"/>
      <x:c r="G29" s="14"/>
      <x:c r="H29" s="14"/>
    </x:row>
    <x:row r="30">
      <x:c r="B30" s="5" t="s">
        <x:v>39</x:v>
      </x:c>
      <x:c r="C30" s="14" t="s">
        <x:v>40</x:v>
      </x:c>
      <x:c r="D30" s="14"/>
      <x:c r="E30" s="14" t="s">
        <x:v>41</x:v>
      </x:c>
      <x:c r="F30" s="14"/>
      <x:c r="G30" s="14"/>
      <x:c r="H30" s="14"/>
    </x:row>
    <x:row r="31">
      <x:c r="B31" s="5" t="s">
        <x:v>42</x:v>
      </x:c>
      <x:c r="C31" s="14" t="s">
        <x:v>43</x:v>
      </x:c>
      <x:c r="D31" s="14"/>
      <x:c r="E31" s="14" t="s">
        <x:v>44</x:v>
      </x:c>
      <x:c r="F31" s="14"/>
      <x:c r="G31" s="14"/>
      <x:c r="H31" s="14"/>
    </x:row>
  </x:sheetData>
  <x:mergeCells>
    <x:mergeCell ref="C31:D31"/>
    <x:mergeCell ref="E31:H31"/>
    <x:mergeCell ref="C28:D28"/>
    <x:mergeCell ref="E28:H28"/>
    <x:mergeCell ref="C29:D29"/>
    <x:mergeCell ref="E29:H29"/>
    <x:mergeCell ref="C30:D30"/>
    <x:mergeCell ref="E30:H30"/>
    <x:mergeCell ref="C23:H23"/>
    <x:mergeCell ref="C24:H24"/>
    <x:mergeCell ref="B26:H26"/>
    <x:mergeCell ref="C27:D27"/>
    <x:mergeCell ref="E27:H27"/>
    <x:mergeCell ref="B18:H18"/>
    <x:mergeCell ref="C19:H19"/>
    <x:mergeCell ref="C20:H20"/>
    <x:mergeCell ref="C21:H21"/>
    <x:mergeCell ref="C22:H22"/>
    <x:mergeCell ref="C12:H12"/>
    <x:mergeCell ref="C13:H13"/>
    <x:mergeCell ref="C14:H14"/>
    <x:mergeCell ref="C15:H15"/>
    <x:mergeCell ref="C16:H16"/>
    <x:mergeCell ref="B2:H3"/>
    <x:mergeCell ref="B5:H5"/>
    <x:mergeCell ref="B6:H8"/>
    <x:mergeCell ref="B10:H10"/>
    <x:mergeCell ref="C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A3966"/>
  </x:sheetPr>
  <x:sheetViews>
    <x:sheetView showGridLines="0" workbookViewId="0">
      <x:pane ySplit="4" topLeftCell="A5" activePane="bottomLeft" state="frozen"/>
    </x:sheetView>
  </x:sheetViews>
  <x:sheetFormatPr baseColWidth="10" defaultColWidth="8.796875" defaultRowHeight="13.800000190734863"/>
  <x:cols>
    <x:col min="2" max="2" width="24" customWidth="1"/>
    <x:col min="3" max="3" width="12.69921875" customWidth="1"/>
    <x:col min="4" max="4" width="24" customWidth="1"/>
    <x:col min="5" max="5" width="11.3984375" customWidth="1"/>
    <x:col min="6" max="6" width="12" customWidth="1"/>
    <x:col min="7" max="7" width="18" customWidth="1"/>
    <x:col min="8" max="8" width="26" customWidth="1"/>
    <x:col min="9" max="9" width="38" customWidth="1"/>
    <x:col min="10" max="10" width="20" customWidth="1"/>
  </x:cols>
  <x:sheetData>
    <x:row r="2" ht="31.950000762939453" customHeight="1">
      <x:c r="B2" s="8" t="s">
        <x:v>45</x:v>
      </x:c>
      <x:c r="C2" s="9"/>
      <x:c r="D2" s="9"/>
      <x:c r="E2" s="9"/>
      <x:c r="F2" s="9"/>
      <x:c r="G2" s="9"/>
      <x:c r="H2" s="9"/>
      <x:c r="I2" s="9"/>
      <x:c r="J2" s="9"/>
    </x:row>
    <x:row r="3" ht="31.950000762939453" customHeight="1">
      <x:c r="B3" s="9"/>
      <x:c r="C3" s="9"/>
      <x:c r="D3" s="9"/>
      <x:c r="E3" s="9"/>
      <x:c r="F3" s="9"/>
      <x:c r="G3" s="9"/>
      <x:c r="H3" s="9"/>
      <x:c r="I3" s="9"/>
      <x:c r="J3" s="9"/>
    </x:row>
    <x:row r="4" ht="14.399999618530273">
      <x:c r="B4" s="10" t="s">
        <x:v>46</x:v>
      </x:c>
      <x:c r="C4" s="10"/>
      <x:c r="D4" s="10"/>
      <x:c r="E4" s="10"/>
      <x:c r="F4" s="10"/>
      <x:c r="G4" s="10"/>
      <x:c r="H4" s="10"/>
      <x:c r="I4" s="10"/>
      <x:c r="J4" s="10"/>
    </x:row>
    <x:row r="5"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B6" s="2" t="s">
        <x:v>47</x:v>
      </x:c>
      <x:c r="C6" s="2" t="s">
        <x:v>48</x:v>
      </x:c>
      <x:c r="D6" s="2" t="s">
        <x:v>49</x:v>
      </x:c>
      <x:c r="E6" s="1"/>
      <x:c r="F6" s="1"/>
      <x:c r="G6" s="2" t="s">
        <x:v>50</x:v>
      </x:c>
      <x:c r="H6" s="2" t="s">
        <x:v>51</x:v>
      </x:c>
      <x:c r="I6" s="2" t="s">
        <x:v>52</x:v>
      </x:c>
      <x:c r="J6" s="2" t="s">
        <x:v>53</x:v>
      </x:c>
    </x:row>
    <x:row r="7" ht="17.399999618530273">
      <x:c r="B7" s="3" t="s">
        <x:v>54</x:v>
      </x:c>
      <x:c r="C7" s="4" t="n">
        <x:f>COUNTA('Registro de cambios'!$A$15:$A$214)</x:f>
        <x:v>1</x:v>
      </x:c>
      <x:c r="D7" s="5" t="s">
        <x:v>55</x:v>
      </x:c>
      <x:c r="E7" s="17"/>
      <x:c r="F7" s="1"/>
      <x:c r="G7" s="5" t="s">
        <x:v>56</x:v>
      </x:c>
      <x:c r="H7" s="5" t="s">
        <x:v>57</x:v>
      </x:c>
      <x:c r="I7" s="5" t="s">
        <x:v>58</x:v>
      </x:c>
      <x:c r="J7" s="5" t="s">
        <x:v>59</x:v>
      </x:c>
    </x:row>
    <x:row r="8" ht="17.399999618530273">
      <x:c r="B8" s="3" t="s">
        <x:v>60</x:v>
      </x:c>
      <x:c r="C8" s="4" t="n">
        <x:f>COUNTIF('Registro de cambios'!$U$15:$U$214,"En análisis")</x:f>
        <x:v>0</x:v>
      </x:c>
      <x:c r="D8" s="5" t="s">
        <x:v>61</x:v>
      </x:c>
      <x:c r="E8" s="17"/>
      <x:c r="F8" s="1"/>
      <x:c r="G8" s="5" t="s">
        <x:v>62</x:v>
      </x:c>
      <x:c r="H8" s="5" t="s">
        <x:v>63</x:v>
      </x:c>
      <x:c r="I8" s="5" t="s">
        <x:v>64</x:v>
      </x:c>
      <x:c r="J8" s="5" t="s">
        <x:v>65</x:v>
      </x:c>
    </x:row>
    <x:row r="9" ht="17.399999618530273">
      <x:c r="B9" s="3" t="s">
        <x:v>66</x:v>
      </x:c>
      <x:c r="C9" s="4" t="n">
        <x:f>COUNTIF('Registro de cambios'!$U$15:$U$214,"Pendiente de aprobación")</x:f>
        <x:v>0</x:v>
      </x:c>
      <x:c r="D9" s="5" t="s">
        <x:v>67</x:v>
      </x:c>
      <x:c r="E9" s="17"/>
      <x:c r="F9" s="1"/>
      <x:c r="G9" s="5" t="s">
        <x:v>68</x:v>
      </x:c>
      <x:c r="H9" s="5" t="s">
        <x:v>69</x:v>
      </x:c>
      <x:c r="I9" s="5" t="s">
        <x:v>70</x:v>
      </x:c>
      <x:c r="J9" s="5" t="s">
        <x:v>71</x:v>
      </x:c>
    </x:row>
    <x:row r="10" ht="17.399999618530273">
      <x:c r="B10" s="3" t="s">
        <x:v>72</x:v>
      </x:c>
      <x:c r="C10" s="4" t="n">
        <x:f>COUNTIF('Registro de cambios'!$T$15:$T$214,"Aprobar")+COUNTIF('Registro de cambios'!$T$15:$T$214,"Aprobar con condiciones")</x:f>
        <x:v>1</x:v>
      </x:c>
      <x:c r="D10" s="5" t="s">
        <x:v>73</x:v>
      </x:c>
      <x:c r="E10" s="17"/>
      <x:c r="F10" s="1"/>
      <x:c r="G10" s="5" t="s">
        <x:v>74</x:v>
      </x:c>
      <x:c r="H10" s="5" t="s">
        <x:v>75</x:v>
      </x:c>
      <x:c r="I10" s="5" t="s">
        <x:v>76</x:v>
      </x:c>
      <x:c r="J10" s="5" t="s">
        <x:v>77</x:v>
      </x:c>
    </x:row>
    <x:row r="11" ht="17.399999618530273">
      <x:c r="B11" s="3" t="s">
        <x:v>78</x:v>
      </x:c>
      <x:c r="C11" s="4" t="n">
        <x:f>COUNTIF('Registro de cambios'!$U$15:$U$214,"En implementación")</x:f>
        <x:v>0</x:v>
      </x:c>
      <x:c r="D11" s="5" t="s">
        <x:v>79</x:v>
      </x:c>
      <x:c r="E11" s="17"/>
      <x:c r="F11" s="1"/>
      <x:c r="G11" s="5" t="s">
        <x:v>80</x:v>
      </x:c>
      <x:c r="H11" s="5" t="s">
        <x:v>81</x:v>
      </x:c>
      <x:c r="I11" s="5" t="s">
        <x:v>82</x:v>
      </x:c>
      <x:c r="J11" s="5" t="s">
        <x:v>83</x:v>
      </x:c>
    </x:row>
    <x:row r="12" ht="17.399999618530273">
      <x:c r="B12" s="3" t="s">
        <x:v>84</x:v>
      </x:c>
      <x:c r="C12" s="4" t="n">
        <x:f>COUNTIF('Registro de cambios'!$U$15:$U$214,"En validación")</x:f>
        <x:v>0</x:v>
      </x:c>
      <x:c r="D12" s="5" t="s">
        <x:v>85</x:v>
      </x:c>
      <x:c r="E12" s="17"/>
      <x:c r="F12" s="1"/>
      <x:c r="G12" s="5" t="s">
        <x:v>86</x:v>
      </x:c>
      <x:c r="H12" s="5" t="s">
        <x:v>87</x:v>
      </x:c>
      <x:c r="I12" s="5" t="s">
        <x:v>88</x:v>
      </x:c>
      <x:c r="J12" s="5" t="s">
        <x:v>89</x:v>
      </x:c>
    </x:row>
    <x:row r="13" ht="17.399999618530273">
      <x:c r="B13" s="3" t="s">
        <x:v>90</x:v>
      </x:c>
      <x:c r="C13" s="4" t="n">
        <x:f>COUNTIF('Registro de cambios'!$U$15:$U$214,"Cerrado")</x:f>
        <x:v>1</x:v>
      </x:c>
      <x:c r="D13" s="5" t="s">
        <x:v>91</x:v>
      </x:c>
      <x:c r="E13" s="17"/>
      <x:c r="F13" s="1"/>
      <x:c r="G13" s="1"/>
      <x:c r="H13" s="1"/>
      <x:c r="I13" s="1"/>
      <x:c r="J13" s="1"/>
    </x:row>
    <x:row r="14" ht="17.399999618530273">
      <x:c r="B14" s="3" t="s">
        <x:v>92</x:v>
      </x:c>
      <x:c r="C14" s="4" t="n">
        <x:f ca="1">COUNTIFS('Registro de cambios'!$W$15:$W$214,"&gt;0",'Registro de cambios'!$W$15:$W$214,"&lt;"&amp;TODAY(),'Registro de cambios'!$U$15:$U$214,"&lt;&gt;Cerrado",'Registro de cambios'!$U$15:$U$214,"&lt;&gt;Rechazado",'Registro de cambios'!$U$15:$U$214,"&lt;&gt;Cancelado")</x:f>
        <x:v>0</x:v>
      </x:c>
      <x:c r="D14" s="5" t="s">
        <x:v>93</x:v>
      </x:c>
      <x:c r="E14" s="17"/>
      <x:c r="F14" s="1"/>
      <x:c r="G14" s="1"/>
      <x:c r="H14" s="1"/>
      <x:c r="I14" s="1"/>
      <x:c r="J14" s="1"/>
    </x:row>
    <x:row r="15"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4" customHeight="1">
      <x:c r="B17" s="26" t="s">
        <x:v>94</x:v>
      </x:c>
      <x:c r="C17" s="26"/>
      <x:c r="D17" s="26"/>
      <x:c r="E17" s="26"/>
      <x:c r="F17" s="26"/>
      <x:c r="G17" s="26"/>
      <x:c r="H17" s="26"/>
      <x:c r="I17" s="25"/>
      <x:c r="J17" s="25"/>
    </x:row>
    <x:row r="18">
      <x:c r="B18" s="3" t="s">
        <x:v>95</x:v>
      </x:c>
      <x:c r="C18" s="20" t="s">
        <x:v>96</x:v>
      </x:c>
      <x:c r="D18" s="27"/>
      <x:c r="E18" s="27"/>
      <x:c r="F18" s="27"/>
      <x:c r="G18" s="27"/>
      <x:c r="H18" s="21"/>
    </x:row>
    <x:row r="19">
      <x:c r="B19" s="3" t="s">
        <x:v>97</x:v>
      </x:c>
      <x:c r="C19" s="20" t="s">
        <x:v>98</x:v>
      </x:c>
      <x:c r="D19" s="27"/>
      <x:c r="E19" s="27"/>
      <x:c r="F19" s="27"/>
      <x:c r="G19" s="27"/>
      <x:c r="H19" s="21"/>
    </x:row>
    <x:row r="20">
      <x:c r="B20" s="3" t="s">
        <x:v>99</x:v>
      </x:c>
      <x:c r="C20" s="20" t="s">
        <x:v>100</x:v>
      </x:c>
      <x:c r="D20" s="27"/>
      <x:c r="E20" s="27"/>
      <x:c r="F20" s="27"/>
      <x:c r="G20" s="27"/>
      <x:c r="H20" s="21"/>
    </x:row>
    <x:row r="21">
      <x:c r="B21" s="3" t="s">
        <x:v>101</x:v>
      </x:c>
      <x:c r="C21" s="20" t="s">
        <x:v>102</x:v>
      </x:c>
      <x:c r="D21" s="27"/>
      <x:c r="E21" s="27"/>
      <x:c r="F21" s="27"/>
      <x:c r="G21" s="27"/>
      <x:c r="H21" s="21"/>
    </x:row>
    <x:row r="22">
      <x:c r="B22" s="3" t="s">
        <x:v>103</x:v>
      </x:c>
      <x:c r="C22" s="20">
        <x:v>46289</x:v>
      </x:c>
      <x:c r="D22" s="27"/>
      <x:c r="E22" s="27"/>
      <x:c r="F22" s="27"/>
      <x:c r="G22" s="27"/>
      <x:c r="H22" s="21"/>
    </x:row>
    <x:row r="23">
      <x:c r="B23" s="3" t="s">
        <x:v>104</x:v>
      </x:c>
      <x:c r="C23" s="20" t="s">
        <x:v>105</x:v>
      </x:c>
      <x:c r="D23" s="27"/>
      <x:c r="E23" s="27"/>
      <x:c r="F23" s="27"/>
      <x:c r="G23" s="27"/>
      <x:c r="H23" s="21"/>
    </x:row>
    <x:row r="24">
      <x:c r="B24" s="3" t="s">
        <x:v>106</x:v>
      </x:c>
      <x:c r="C24" s="20" t="s">
        <x:v>107</x:v>
      </x:c>
      <x:c r="D24" s="27"/>
      <x:c r="E24" s="27"/>
      <x:c r="F24" s="27"/>
      <x:c r="G24" s="27"/>
      <x:c r="H24" s="21"/>
      <x:c r="I24" s="1"/>
      <x:c r="J24" s="1"/>
    </x:row>
    <x:row r="26" ht="27.600000381469727" customHeight="1">
      <x:c r="B26" s="2" t="s">
        <x:v>108</x:v>
      </x:c>
      <x:c r="C26" s="2" t="s">
        <x:v>109</x:v>
      </x:c>
      <x:c r="D26" s="22" t="s">
        <x:v>110</x:v>
      </x:c>
      <x:c r="E26" s="23"/>
      <x:c r="F26" s="22" t="s">
        <x:v>51</x:v>
      </x:c>
      <x:c r="G26" s="23"/>
      <x:c r="H26" s="2" t="s">
        <x:v>101</x:v>
      </x:c>
    </x:row>
    <x:row r="27">
      <x:c r="B27" s="5" t="s">
        <x:v>111</x:v>
      </x:c>
      <x:c r="C27" s="5">
        <x:v>46279</x:v>
      </x:c>
      <x:c r="D27" s="18" t="s">
        <x:v>112</x:v>
      </x:c>
      <x:c r="E27" s="19"/>
      <x:c r="F27" s="18" t="s">
        <x:v>113</x:v>
      </x:c>
      <x:c r="G27" s="19"/>
      <x:c r="H27" s="24" t="s">
        <x:v>114</x:v>
      </x:c>
    </x:row>
    <x:row r="28" ht="15" customHeight="1">
      <x:c r="B28" s="5" t="s">
        <x:v>115</x:v>
      </x:c>
      <x:c r="C28" s="5">
        <x:v>46279</x:v>
      </x:c>
      <x:c r="D28" s="18" t="s">
        <x:v>116</x:v>
      </x:c>
      <x:c r="E28" s="19"/>
      <x:c r="F28" s="18" t="s">
        <x:v>117</x:v>
      </x:c>
      <x:c r="G28" s="19"/>
      <x:c r="H28" s="24" t="s">
        <x:v>118</x:v>
      </x:c>
    </x:row>
    <x:row r="29">
      <x:c r="B29" s="5" t="s">
        <x:v>119</x:v>
      </x:c>
      <x:c r="C29" s="5">
        <x:v>46280</x:v>
      </x:c>
      <x:c r="D29" s="18" t="s">
        <x:v>120</x:v>
      </x:c>
      <x:c r="E29" s="19"/>
      <x:c r="F29" s="18" t="s">
        <x:v>113</x:v>
      </x:c>
      <x:c r="G29" s="19"/>
      <x:c r="H29" s="24" t="s">
        <x:v>114</x:v>
      </x:c>
    </x:row>
    <x:row r="30" ht="31.200000762939453" customHeight="1">
      <x:c r="B30" s="5" t="s">
        <x:v>100</x:v>
      </x:c>
      <x:c r="C30" s="5">
        <x:v>46289</x:v>
      </x:c>
      <x:c r="D30" s="18" t="s">
        <x:v>121</x:v>
      </x:c>
      <x:c r="E30" s="19"/>
      <x:c r="F30" s="18" t="s">
        <x:v>113</x:v>
      </x:c>
      <x:c r="G30" s="19"/>
      <x:c r="H30" s="24" t="s">
        <x:v>102</x:v>
      </x:c>
    </x:row>
  </x:sheetData>
  <x:mergeCells>
    <x:mergeCell ref="D26:E26"/>
    <x:mergeCell ref="D27:E27"/>
    <x:mergeCell ref="D28:E28"/>
    <x:mergeCell ref="D29:E29"/>
    <x:mergeCell ref="D30:E30"/>
    <x:mergeCell ref="F27:G27"/>
    <x:mergeCell ref="F28:G28"/>
    <x:mergeCell ref="F29:G29"/>
    <x:mergeCell ref="F30:G30"/>
    <x:mergeCell ref="F26:G26"/>
    <x:mergeCell ref="C20:H20"/>
    <x:mergeCell ref="C21:H21"/>
    <x:mergeCell ref="C22:H22"/>
    <x:mergeCell ref="C23:H23"/>
    <x:mergeCell ref="C24:H24"/>
    <x:mergeCell ref="B2:J3"/>
    <x:mergeCell ref="B4:J4"/>
    <x:mergeCell ref="C18:H18"/>
    <x:mergeCell ref="C19:H19"/>
    <x:mergeCell ref="B17:H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92351"/>
  </x:sheetPr>
  <x:sheetViews>
    <x:sheetView showGridLines="0" workbookViewId="0">
      <x:pane xSplit="5" ySplit="14" topLeftCell="F15" activePane="bottomRight" state="frozen"/>
    </x:sheetView>
  </x:sheetViews>
  <x:sheetFormatPr baseColWidth="10" defaultColWidth="8.796875" defaultRowHeight="13.800000190734863"/>
  <x:cols>
    <x:col min="1" max="1" width="14" customWidth="1"/>
    <x:col min="2" max="2" width="13" customWidth="1"/>
    <x:col min="3" max="3" width="22" customWidth="1"/>
    <x:col min="4" max="4" width="18" customWidth="1"/>
    <x:col min="5" max="5" width="26" customWidth="1"/>
    <x:col min="6" max="6" width="42" customWidth="1"/>
    <x:col min="7" max="7" width="28" customWidth="1"/>
    <x:col min="8" max="8" width="13" customWidth="1"/>
    <x:col min="9" max="9" width="15" customWidth="1"/>
    <x:col min="10" max="10" width="17" customWidth="1"/>
    <x:col min="11" max="11" width="15" customWidth="1"/>
    <x:col min="12" max="12" width="22" customWidth="1"/>
    <x:col min="13" max="13" width="12" customWidth="1"/>
    <x:col min="14" max="14" width="13" customWidth="1"/>
    <x:col min="15" max="16" width="12" customWidth="1"/>
    <x:col min="17" max="17" width="16" customWidth="1"/>
    <x:col min="18" max="21" width="22" customWidth="1"/>
    <x:col min="22" max="22" width="24" customWidth="1"/>
    <x:col min="23" max="23" width="14" customWidth="1"/>
    <x:col min="24" max="24" width="17" customWidth="1"/>
    <x:col min="25" max="25" width="22" customWidth="1"/>
    <x:col min="26" max="26" width="34" customWidth="1"/>
    <x:col min="27" max="27" width="16" customWidth="1"/>
    <x:col min="28" max="28" width="14" customWidth="1"/>
    <x:col min="29" max="29" width="40" customWidth="1"/>
  </x:cols>
  <x:sheetData>
    <x:row r="2" ht="31.950000762939453" customHeight="1">
      <x:c r="A2" s="8" t="s">
        <x:v>122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</x:row>
    <x:row r="3" ht="31.950000762939453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</x:row>
    <x:row r="4" ht="14.399999618530273">
      <x:c r="A4" s="10" t="s">
        <x:v>123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</x:row>
    <x:row r="6">
      <x:c r="A6" s="12" t="s">
        <x:v>124</x:v>
      </x:c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  <x:c r="AC6" s="12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</x:row>
    <x:row r="8">
      <x:c r="A8" s="2" t="s">
        <x:v>125</x:v>
      </x:c>
      <x:c r="B8" s="2" t="s">
        <x:v>60</x:v>
      </x:c>
      <x:c r="C8" s="2" t="s">
        <x:v>126</x:v>
      </x:c>
      <x:c r="D8" s="2" t="s">
        <x:v>127</x:v>
      </x:c>
      <x:c r="E8" s="2" t="s">
        <x:v>78</x:v>
      </x:c>
      <x:c r="F8" s="2" t="s">
        <x:v>84</x:v>
      </x:c>
      <x:c r="G8" s="2" t="s">
        <x:v>128</x:v>
      </x:c>
      <x:c r="H8" s="2" t="s">
        <x:v>129</x:v>
      </x:c>
      <x:c r="I8" s="2" t="s">
        <x:v>130</x:v>
      </x:c>
      <x:c r="J8" s="2" t="s">
        <x:v>131</x:v>
      </x:c>
      <x:c r="K8" s="2" t="s">
        <x:v>132</x:v>
      </x:c>
      <x:c r="L8" s="2" t="s">
        <x:v>101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</x:row>
    <x:row r="9">
      <x:c r="A9" s="7" t="n">
        <x:f>COUNTA($A$15:$A$214)</x:f>
        <x:v>1</x:v>
      </x:c>
      <x:c r="B9" s="7" t="n">
        <x:f>COUNTIF($U$15:$U$214,"En análisis")</x:f>
        <x:v>0</x:v>
      </x:c>
      <x:c r="C9" s="7" t="n">
        <x:f>COUNTIF($U$15:$U$214,"Pendiente de aprobación")</x:f>
        <x:v>0</x:v>
      </x:c>
      <x:c r="D9" s="7" t="n">
        <x:f>COUNTIF($T$15:$T$214,"Aprobar")+COUNTIF($T$15:$T$214,"Aprobar con condiciones")</x:f>
        <x:v>1</x:v>
      </x:c>
      <x:c r="E9" s="7" t="n">
        <x:f>COUNTIF($U$15:$U$214,"En implementación")</x:f>
        <x:v>0</x:v>
      </x:c>
      <x:c r="F9" s="7" t="n">
        <x:f>COUNTIF($U$15:$U$214,"En validación")</x:f>
        <x:v>0</x:v>
      </x:c>
      <x:c r="G9" s="7" t="n">
        <x:f>COUNTIF($U$15:$U$214,"Cerrado")</x:f>
        <x:v>1</x:v>
      </x:c>
      <x:c r="H9" s="7" t="n">
        <x:f>COUNTIF($T$15:$T$214,"Rechazar")</x:f>
        <x:v>0</x:v>
      </x:c>
      <x:c r="I9" s="7" t="n">
        <x:f ca="1">COUNTIFS($W$15:$W$214,"&gt;0",$W$15:$W$214,"&lt;"&amp;TODAY(),$U$15:$U$214,"&lt;&gt;Cerrado",$U$15:$U$214,"&lt;&gt;Rechazado",$U$15:$U$214,"&lt;&gt;Cancelado")</x:f>
        <x:v>0</x:v>
      </x:c>
      <x:c r="J9" s="7" t="n">
        <x:f>COUNTIF($P$15:$P$214,"Crítico")</x:f>
        <x:v>0</x:v>
      </x:c>
      <x:c r="K9" s="7" t="n">
        <x:f>COUNTIF($K$15:$K$214,"Alto")</x:f>
        <x:v>0</x:v>
      </x:c>
      <x:c r="L9" s="7" t="str">
        <x:f ca="1">IF(I9&gt;0,"REQUIERE ATENCIÓN","AL DÍA")</x:f>
        <x:v>AL DÍA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</x:row>
    <x:row r="11" ht="31.950000762939453" customHeight="1">
      <x:c r="A11" s="13" t="s">
        <x:v>133</x:v>
      </x:c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</x:row>
    <x:row r="14" ht="48" customHeight="1">
      <x:c r="A14" s="2" t="s">
        <x:v>134</x:v>
      </x:c>
      <x:c r="B14" s="2" t="s">
        <x:v>135</x:v>
      </x:c>
      <x:c r="C14" s="2" t="s">
        <x:v>57</x:v>
      </x:c>
      <x:c r="D14" s="2" t="s">
        <x:v>136</x:v>
      </x:c>
      <x:c r="E14" s="2" t="s">
        <x:v>137</x:v>
      </x:c>
      <x:c r="F14" s="2" t="s">
        <x:v>138</x:v>
      </x:c>
      <x:c r="G14" s="2" t="s">
        <x:v>139</x:v>
      </x:c>
      <x:c r="H14" s="2" t="s">
        <x:v>140</x:v>
      </x:c>
      <x:c r="I14" s="2" t="s">
        <x:v>141</x:v>
      </x:c>
      <x:c r="J14" s="2" t="s">
        <x:v>142</x:v>
      </x:c>
      <x:c r="K14" s="2" t="s">
        <x:v>143</x:v>
      </x:c>
      <x:c r="L14" s="2" t="s">
        <x:v>144</x:v>
      </x:c>
      <x:c r="M14" s="2" t="s">
        <x:v>145</x:v>
      </x:c>
      <x:c r="N14" s="2" t="s">
        <x:v>146</x:v>
      </x:c>
      <x:c r="O14" s="2" t="s">
        <x:v>147</x:v>
      </x:c>
      <x:c r="P14" s="2" t="s">
        <x:v>30</x:v>
      </x:c>
      <x:c r="Q14" s="2" t="s">
        <x:v>148</x:v>
      </x:c>
      <x:c r="R14" s="2" t="s">
        <x:v>149</x:v>
      </x:c>
      <x:c r="S14" s="2" t="s">
        <x:v>150</x:v>
      </x:c>
      <x:c r="T14" s="2" t="s">
        <x:v>151</x:v>
      </x:c>
      <x:c r="U14" s="2" t="s">
        <x:v>101</x:v>
      </x:c>
      <x:c r="V14" s="2" t="s">
        <x:v>152</x:v>
      </x:c>
      <x:c r="W14" s="2" t="s">
        <x:v>153</x:v>
      </x:c>
      <x:c r="X14" s="2" t="s">
        <x:v>154</x:v>
      </x:c>
      <x:c r="Y14" s="2" t="s">
        <x:v>155</x:v>
      </x:c>
      <x:c r="Z14" s="2" t="s">
        <x:v>156</x:v>
      </x:c>
      <x:c r="AA14" s="2" t="s">
        <x:v>157</x:v>
      </x:c>
      <x:c r="AB14" s="2" t="s">
        <x:v>158</x:v>
      </x:c>
      <x:c r="AC14" s="2" t="s">
        <x:v>159</x:v>
      </x:c>
    </x:row>
    <x:row r="15" ht="90" customHeight="1">
      <x:c r="A15" s="29" t="str">
        <x:v>CC-001</x:v>
      </x:c>
      <x:c r="B15" s="28" t="n">
        <x:v>46290</x:v>
      </x:c>
      <x:c r="C15" s="29" t="str">
        <x:v>Alex Mendoza Morante / Scrum Master</x:v>
      </x:c>
      <x:c r="D15" s="29" t="str">
        <x:v>Documentación</x:v>
      </x:c>
      <x:c r="E15" s="29" t="str">
        <x:v>Delimitación del Acta de Constitución al alcance del MVP</x:v>
      </x:c>
      <x:c r="F15" s="29" t="str">
        <x:v>Actualizar el Acta de Constitución para declarar que el entregable vigente corresponde exclusivamente al MVP de Barrio Solidario. El cambio elimina ambigüedades entre la visión completa del producto y el incremento académico ejecutable, y establece al Documento del MVP como referencia de alcance.</x:v>
      </x:c>
      <x:c r="G15" s="29" t="str">
        <x:v>Acta de Constitución v1.0.0: propósito, objetivo general, alcance, exclusiones, entregables, Sprint 4, restricciones, criterios de aceptación y control de versiones. Referencia: Documento del MVP.</x:v>
      </x:c>
      <x:c r="H15" s="29" t="str">
        <x:v>High</x:v>
      </x:c>
      <x:c r="I15" s="29" t="str">
        <x:v>Medio</x:v>
      </x:c>
      <x:c r="J15" s="29" t="str">
        <x:v>Sin impacto</x:v>
      </x:c>
      <x:c r="K15" s="29" t="str">
        <x:v>Bajo</x:v>
      </x:c>
      <x:c r="L15" s="29" t="str">
        <x:v>Bajo: mejora la consistencia documental, la trazabilidad y el control del alcance; no modifica controles técnicos de seguridad.</x:v>
      </x:c>
      <x:c r="M15" s="29" t="n">
        <x:v>2</x:v>
      </x:c>
      <x:c r="N15" s="29" t="n">
        <x:v>3</x:v>
      </x:c>
      <x:c r="O15" s="29" t="n">
        <x:f t="shared" ref="O15:O46" si="0">IF(OR(M15="",N15=""),"",M15*N15)</x:f>
        <x:v>6</x:v>
      </x:c>
      <x:c r="P15" s="29" t="str">
        <x:f t="shared" ref="P15:P46" si="1">IF(O15="","",IF(O15&lt;=4,"Bajo",IF(O15&lt;=9,"Medio",IF(O15&lt;=16,"Alto","Crítico"))))</x:f>
        <x:v>Medio</x:v>
      </x:c>
      <x:c r="Q15" s="29" t="n">
        <x:v>8</x:v>
      </x:c>
      <x:c r="R15" s="29" t="str">
        <x:v>Alex Mendoza Morante / Scrum Master</x:v>
      </x:c>
      <x:c r="S15" s="29" t="str">
        <x:v>Víctor Tello Bravo / Product Owner</x:v>
      </x:c>
      <x:c r="T15" s="29" t="str">
        <x:v>Aprobar</x:v>
      </x:c>
      <x:c r="U15" s="29" t="str">
        <x:v>Cerrado</x:v>
      </x:c>
      <x:c r="V15" s="29" t="str">
        <x:v>Alex Mendoza Morante / Scrum Master</x:v>
      </x:c>
      <x:c r="W15" s="28" t="n">
        <x:v>46290</x:v>
      </x:c>
      <x:c r="X15" s="28" t="n">
        <x:v>46290</x:v>
      </x:c>
      <x:c r="Y15" s="29" t="str">
        <x:v>Conforme: el Acta diferencia el MVP de la solución futura y mantiene coherencia con el Documento del MVP.</x:v>
      </x:c>
      <x:c r="Z15" s="29" t="str">
        <x:v>01 Acta de Constitucion.docx v1.1.0; 10 MVP(1).pdf; registro de control de versiones del Acta.</x:v>
      </x:c>
      <x:c r="AA15" s="29" t="str">
        <x:v>Acta v1.1.0</x:v>
      </x:c>
      <x:c r="AB15" s="28" t="n">
        <x:v>46290</x:v>
      </x:c>
      <x:c r="AC15" s="29" t="str">
        <x:v>Costo: 8 horas internas (Alex 3 h, Víctor 2 h, Kevin 1 h y Luis Rodríguez 2 h), absorbidas dentro de la capacidad académica del equipo. Costo directo externo: USD 0,00; no se requieren licencias, servicios, infraestructura ni materiales adicionales. Si se exige valorización monetaria, el costo interno se obtiene como 8 h × tarifa referencial institucional. Sin contingencia monetaria ni extensión del Sprint.</x:v>
      </x:c>
    </x:row>
    <x:row r="16">
      <x:c r="A16" s="5"/>
      <x:c r="B16" s="6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 t="str">
        <x:f t="shared" si="0"/>
      </x:c>
      <x:c r="P16" s="5" t="str">
        <x:f t="shared" si="1"/>
      </x:c>
      <x:c r="Q16" s="5"/>
      <x:c r="R16" s="5"/>
      <x:c r="S16" s="5"/>
      <x:c r="T16" s="5"/>
      <x:c r="U16" s="5"/>
      <x:c r="V16" s="5"/>
      <x:c r="W16" s="6"/>
      <x:c r="X16" s="6"/>
      <x:c r="Y16" s="5"/>
      <x:c r="Z16" s="5"/>
      <x:c r="AA16" s="5"/>
      <x:c r="AB16" s="6"/>
      <x:c r="AC16" s="5"/>
    </x:row>
    <x:row r="17">
      <x:c r="A17" s="5"/>
      <x:c r="B17" s="6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 t="str">
        <x:f t="shared" si="0"/>
      </x:c>
      <x:c r="P17" s="5" t="str">
        <x:f t="shared" si="1"/>
      </x:c>
      <x:c r="Q17" s="5"/>
      <x:c r="R17" s="5"/>
      <x:c r="S17" s="5"/>
      <x:c r="T17" s="5"/>
      <x:c r="U17" s="5"/>
      <x:c r="V17" s="5"/>
      <x:c r="W17" s="6"/>
      <x:c r="X17" s="6"/>
      <x:c r="Y17" s="5"/>
      <x:c r="Z17" s="5"/>
      <x:c r="AA17" s="5"/>
      <x:c r="AB17" s="6"/>
      <x:c r="AC17" s="5"/>
    </x:row>
    <x:row r="18">
      <x:c r="A18" s="5"/>
      <x:c r="B18" s="6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 t="str">
        <x:f t="shared" si="0"/>
      </x:c>
      <x:c r="P18" s="5" t="str">
        <x:f t="shared" si="1"/>
      </x:c>
      <x:c r="Q18" s="5"/>
      <x:c r="R18" s="5"/>
      <x:c r="S18" s="5"/>
      <x:c r="T18" s="5"/>
      <x:c r="U18" s="5"/>
      <x:c r="V18" s="5"/>
      <x:c r="W18" s="6"/>
      <x:c r="X18" s="6"/>
      <x:c r="Y18" s="5"/>
      <x:c r="Z18" s="5"/>
      <x:c r="AA18" s="5"/>
      <x:c r="AB18" s="6"/>
      <x:c r="AC18" s="5"/>
    </x:row>
    <x:row r="19">
      <x:c r="A19" s="5"/>
      <x:c r="B19" s="6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 t="str">
        <x:f t="shared" si="0"/>
      </x:c>
      <x:c r="P19" s="5" t="str">
        <x:f t="shared" si="1"/>
      </x:c>
      <x:c r="Q19" s="5"/>
      <x:c r="R19" s="5"/>
      <x:c r="S19" s="5"/>
      <x:c r="T19" s="5"/>
      <x:c r="U19" s="5"/>
      <x:c r="V19" s="5"/>
      <x:c r="W19" s="6"/>
      <x:c r="X19" s="6"/>
      <x:c r="Y19" s="5"/>
      <x:c r="Z19" s="5"/>
      <x:c r="AA19" s="5"/>
      <x:c r="AB19" s="6"/>
      <x:c r="AC19" s="5"/>
    </x:row>
    <x:row r="20">
      <x:c r="A20" s="5"/>
      <x:c r="B20" s="6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 t="str">
        <x:f t="shared" si="0"/>
      </x:c>
      <x:c r="P20" s="5" t="str">
        <x:f t="shared" si="1"/>
      </x:c>
      <x:c r="Q20" s="5"/>
      <x:c r="R20" s="5"/>
      <x:c r="S20" s="5"/>
      <x:c r="T20" s="5"/>
      <x:c r="U20" s="5"/>
      <x:c r="V20" s="5"/>
      <x:c r="W20" s="6"/>
      <x:c r="X20" s="6"/>
      <x:c r="Y20" s="5"/>
      <x:c r="Z20" s="5"/>
      <x:c r="AA20" s="5"/>
      <x:c r="AB20" s="6"/>
      <x:c r="AC20" s="5"/>
    </x:row>
    <x:row r="21">
      <x:c r="A21" s="5"/>
      <x:c r="B21" s="6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 t="str">
        <x:f t="shared" si="0"/>
      </x:c>
      <x:c r="P21" s="5" t="str">
        <x:f t="shared" si="1"/>
      </x:c>
      <x:c r="Q21" s="5"/>
      <x:c r="R21" s="5"/>
      <x:c r="S21" s="5"/>
      <x:c r="T21" s="5"/>
      <x:c r="U21" s="5"/>
      <x:c r="V21" s="5"/>
      <x:c r="W21" s="6"/>
      <x:c r="X21" s="6"/>
      <x:c r="Y21" s="5"/>
      <x:c r="Z21" s="5"/>
      <x:c r="AA21" s="5"/>
      <x:c r="AB21" s="6"/>
      <x:c r="AC21" s="5"/>
    </x:row>
    <x:row r="22">
      <x:c r="A22" s="5"/>
      <x:c r="B22" s="6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 t="str">
        <x:f t="shared" si="0"/>
      </x:c>
      <x:c r="P22" s="5" t="str">
        <x:f t="shared" si="1"/>
      </x:c>
      <x:c r="Q22" s="5"/>
      <x:c r="R22" s="5"/>
      <x:c r="S22" s="5"/>
      <x:c r="T22" s="5"/>
      <x:c r="U22" s="5"/>
      <x:c r="V22" s="5"/>
      <x:c r="W22" s="6"/>
      <x:c r="X22" s="6"/>
      <x:c r="Y22" s="5"/>
      <x:c r="Z22" s="5"/>
      <x:c r="AA22" s="5"/>
      <x:c r="AB22" s="6"/>
      <x:c r="AC22" s="5"/>
    </x:row>
    <x:row r="23">
      <x:c r="A23" s="5"/>
      <x:c r="B23" s="6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 t="str">
        <x:f t="shared" si="0"/>
      </x:c>
      <x:c r="P23" s="5" t="str">
        <x:f t="shared" si="1"/>
      </x:c>
      <x:c r="Q23" s="5"/>
      <x:c r="R23" s="5"/>
      <x:c r="S23" s="5"/>
      <x:c r="T23" s="5"/>
      <x:c r="U23" s="5"/>
      <x:c r="V23" s="5"/>
      <x:c r="W23" s="6"/>
      <x:c r="X23" s="6"/>
      <x:c r="Y23" s="5"/>
      <x:c r="Z23" s="5"/>
      <x:c r="AA23" s="5"/>
      <x:c r="AB23" s="6"/>
      <x:c r="AC23" s="5"/>
    </x:row>
    <x:row r="24">
      <x:c r="A24" s="5"/>
      <x:c r="B24" s="6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 t="str">
        <x:f t="shared" si="0"/>
      </x:c>
      <x:c r="P24" s="5" t="str">
        <x:f t="shared" si="1"/>
      </x:c>
      <x:c r="Q24" s="5"/>
      <x:c r="R24" s="5"/>
      <x:c r="S24" s="5"/>
      <x:c r="T24" s="5"/>
      <x:c r="U24" s="5"/>
      <x:c r="V24" s="5"/>
      <x:c r="W24" s="6"/>
      <x:c r="X24" s="6"/>
      <x:c r="Y24" s="5"/>
      <x:c r="Z24" s="5"/>
      <x:c r="AA24" s="5"/>
      <x:c r="AB24" s="6"/>
      <x:c r="AC24" s="5"/>
    </x:row>
    <x:row r="25">
      <x:c r="A25" s="5"/>
      <x:c r="B25" s="6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 t="str">
        <x:f t="shared" si="0"/>
      </x:c>
      <x:c r="P25" s="5" t="str">
        <x:f t="shared" si="1"/>
      </x:c>
      <x:c r="Q25" s="5"/>
      <x:c r="R25" s="5"/>
      <x:c r="S25" s="5"/>
      <x:c r="T25" s="5"/>
      <x:c r="U25" s="5"/>
      <x:c r="V25" s="5"/>
      <x:c r="W25" s="6"/>
      <x:c r="X25" s="6"/>
      <x:c r="Y25" s="5"/>
      <x:c r="Z25" s="5"/>
      <x:c r="AA25" s="5"/>
      <x:c r="AB25" s="6"/>
      <x:c r="AC25" s="5"/>
    </x:row>
    <x:row r="26">
      <x:c r="A26" s="5"/>
      <x:c r="B26" s="6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 t="str">
        <x:f t="shared" si="0"/>
      </x:c>
      <x:c r="P26" s="5" t="str">
        <x:f t="shared" si="1"/>
      </x:c>
      <x:c r="Q26" s="5"/>
      <x:c r="R26" s="5"/>
      <x:c r="S26" s="5"/>
      <x:c r="T26" s="5"/>
      <x:c r="U26" s="5"/>
      <x:c r="V26" s="5"/>
      <x:c r="W26" s="6"/>
      <x:c r="X26" s="6"/>
      <x:c r="Y26" s="5"/>
      <x:c r="Z26" s="5"/>
      <x:c r="AA26" s="5"/>
      <x:c r="AB26" s="6"/>
      <x:c r="AC26" s="5"/>
    </x:row>
    <x:row r="27">
      <x:c r="A27" s="5"/>
      <x:c r="B27" s="6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 t="str">
        <x:f t="shared" si="0"/>
      </x:c>
      <x:c r="P27" s="5" t="str">
        <x:f t="shared" si="1"/>
      </x:c>
      <x:c r="Q27" s="5"/>
      <x:c r="R27" s="5"/>
      <x:c r="S27" s="5"/>
      <x:c r="T27" s="5"/>
      <x:c r="U27" s="5"/>
      <x:c r="V27" s="5"/>
      <x:c r="W27" s="6"/>
      <x:c r="X27" s="6"/>
      <x:c r="Y27" s="5"/>
      <x:c r="Z27" s="5"/>
      <x:c r="AA27" s="5"/>
      <x:c r="AB27" s="6"/>
      <x:c r="AC27" s="5"/>
    </x:row>
    <x:row r="28">
      <x:c r="A28" s="5"/>
      <x:c r="B28" s="6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 t="str">
        <x:f t="shared" si="0"/>
      </x:c>
      <x:c r="P28" s="5" t="str">
        <x:f t="shared" si="1"/>
      </x:c>
      <x:c r="Q28" s="5"/>
      <x:c r="R28" s="5"/>
      <x:c r="S28" s="5"/>
      <x:c r="T28" s="5"/>
      <x:c r="U28" s="5"/>
      <x:c r="V28" s="5"/>
      <x:c r="W28" s="6"/>
      <x:c r="X28" s="6"/>
      <x:c r="Y28" s="5"/>
      <x:c r="Z28" s="5"/>
      <x:c r="AA28" s="5"/>
      <x:c r="AB28" s="6"/>
      <x:c r="AC28" s="5"/>
    </x:row>
    <x:row r="29">
      <x:c r="A29" s="5"/>
      <x:c r="B29" s="6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 t="str">
        <x:f t="shared" si="0"/>
      </x:c>
      <x:c r="P29" s="5" t="str">
        <x:f t="shared" si="1"/>
      </x:c>
      <x:c r="Q29" s="5"/>
      <x:c r="R29" s="5"/>
      <x:c r="S29" s="5"/>
      <x:c r="T29" s="5"/>
      <x:c r="U29" s="5"/>
      <x:c r="V29" s="5"/>
      <x:c r="W29" s="6"/>
      <x:c r="X29" s="6"/>
      <x:c r="Y29" s="5"/>
      <x:c r="Z29" s="5"/>
      <x:c r="AA29" s="5"/>
      <x:c r="AB29" s="6"/>
      <x:c r="AC29" s="5"/>
    </x:row>
    <x:row r="30">
      <x:c r="A30" s="5"/>
      <x:c r="B30" s="6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 t="str">
        <x:f t="shared" si="0"/>
      </x:c>
      <x:c r="P30" s="5" t="str">
        <x:f t="shared" si="1"/>
      </x:c>
      <x:c r="Q30" s="5"/>
      <x:c r="R30" s="5"/>
      <x:c r="S30" s="5"/>
      <x:c r="T30" s="5"/>
      <x:c r="U30" s="5"/>
      <x:c r="V30" s="5"/>
      <x:c r="W30" s="6"/>
      <x:c r="X30" s="6"/>
      <x:c r="Y30" s="5"/>
      <x:c r="Z30" s="5"/>
      <x:c r="AA30" s="5"/>
      <x:c r="AB30" s="6"/>
      <x:c r="AC30" s="5"/>
    </x:row>
    <x:row r="31">
      <x:c r="A31" s="5"/>
      <x:c r="B31" s="6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 t="str">
        <x:f t="shared" si="0"/>
      </x:c>
      <x:c r="P31" s="5" t="str">
        <x:f t="shared" si="1"/>
      </x:c>
      <x:c r="Q31" s="5"/>
      <x:c r="R31" s="5"/>
      <x:c r="S31" s="5"/>
      <x:c r="T31" s="5"/>
      <x:c r="U31" s="5"/>
      <x:c r="V31" s="5"/>
      <x:c r="W31" s="6"/>
      <x:c r="X31" s="6"/>
      <x:c r="Y31" s="5"/>
      <x:c r="Z31" s="5"/>
      <x:c r="AA31" s="5"/>
      <x:c r="AB31" s="6"/>
      <x:c r="AC31" s="5"/>
    </x:row>
    <x:row r="32">
      <x:c r="A32" s="5"/>
      <x:c r="B32" s="6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 t="str">
        <x:f t="shared" si="0"/>
      </x:c>
      <x:c r="P32" s="5" t="str">
        <x:f t="shared" si="1"/>
      </x:c>
      <x:c r="Q32" s="5"/>
      <x:c r="R32" s="5"/>
      <x:c r="S32" s="5"/>
      <x:c r="T32" s="5"/>
      <x:c r="U32" s="5"/>
      <x:c r="V32" s="5"/>
      <x:c r="W32" s="6"/>
      <x:c r="X32" s="6"/>
      <x:c r="Y32" s="5"/>
      <x:c r="Z32" s="5"/>
      <x:c r="AA32" s="5"/>
      <x:c r="AB32" s="6"/>
      <x:c r="AC32" s="5"/>
    </x:row>
    <x:row r="33">
      <x:c r="A33" s="5"/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 t="str">
        <x:f t="shared" si="0"/>
      </x:c>
      <x:c r="P33" s="5" t="str">
        <x:f t="shared" si="1"/>
      </x:c>
      <x:c r="Q33" s="5"/>
      <x:c r="R33" s="5"/>
      <x:c r="S33" s="5"/>
      <x:c r="T33" s="5"/>
      <x:c r="U33" s="5"/>
      <x:c r="V33" s="5"/>
      <x:c r="W33" s="6"/>
      <x:c r="X33" s="6"/>
      <x:c r="Y33" s="5"/>
      <x:c r="Z33" s="5"/>
      <x:c r="AA33" s="5"/>
      <x:c r="AB33" s="6"/>
      <x:c r="AC33" s="5"/>
    </x:row>
    <x:row r="34">
      <x:c r="A34" s="5"/>
      <x:c r="B34" s="6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 t="str">
        <x:f t="shared" si="0"/>
      </x:c>
      <x:c r="P34" s="5" t="str">
        <x:f t="shared" si="1"/>
      </x:c>
      <x:c r="Q34" s="5"/>
      <x:c r="R34" s="5"/>
      <x:c r="S34" s="5"/>
      <x:c r="T34" s="5"/>
      <x:c r="U34" s="5"/>
      <x:c r="V34" s="5"/>
      <x:c r="W34" s="6"/>
      <x:c r="X34" s="6"/>
      <x:c r="Y34" s="5"/>
      <x:c r="Z34" s="5"/>
      <x:c r="AA34" s="5"/>
      <x:c r="AB34" s="6"/>
      <x:c r="AC34" s="5"/>
    </x:row>
    <x:row r="35">
      <x:c r="A35" s="5"/>
      <x:c r="B35" s="6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 t="str">
        <x:f t="shared" si="0"/>
      </x:c>
      <x:c r="P35" s="5" t="str">
        <x:f t="shared" si="1"/>
      </x:c>
      <x:c r="Q35" s="5"/>
      <x:c r="R35" s="5"/>
      <x:c r="S35" s="5"/>
      <x:c r="T35" s="5"/>
      <x:c r="U35" s="5"/>
      <x:c r="V35" s="5"/>
      <x:c r="W35" s="6"/>
      <x:c r="X35" s="6"/>
      <x:c r="Y35" s="5"/>
      <x:c r="Z35" s="5"/>
      <x:c r="AA35" s="5"/>
      <x:c r="AB35" s="6"/>
      <x:c r="AC35" s="5"/>
    </x:row>
    <x:row r="36">
      <x:c r="A36" s="5"/>
      <x:c r="B36" s="6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 t="str">
        <x:f t="shared" si="0"/>
      </x:c>
      <x:c r="P36" s="5" t="str">
        <x:f t="shared" si="1"/>
      </x:c>
      <x:c r="Q36" s="5"/>
      <x:c r="R36" s="5"/>
      <x:c r="S36" s="5"/>
      <x:c r="T36" s="5"/>
      <x:c r="U36" s="5"/>
      <x:c r="V36" s="5"/>
      <x:c r="W36" s="6"/>
      <x:c r="X36" s="6"/>
      <x:c r="Y36" s="5"/>
      <x:c r="Z36" s="5"/>
      <x:c r="AA36" s="5"/>
      <x:c r="AB36" s="6"/>
      <x:c r="AC36" s="5"/>
    </x:row>
    <x:row r="37">
      <x:c r="A37" s="5"/>
      <x:c r="B37" s="6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 t="str">
        <x:f t="shared" si="0"/>
      </x:c>
      <x:c r="P37" s="5" t="str">
        <x:f t="shared" si="1"/>
      </x:c>
      <x:c r="Q37" s="5"/>
      <x:c r="R37" s="5"/>
      <x:c r="S37" s="5"/>
      <x:c r="T37" s="5"/>
      <x:c r="U37" s="5"/>
      <x:c r="V37" s="5"/>
      <x:c r="W37" s="6"/>
      <x:c r="X37" s="6"/>
      <x:c r="Y37" s="5"/>
      <x:c r="Z37" s="5"/>
      <x:c r="AA37" s="5"/>
      <x:c r="AB37" s="6"/>
      <x:c r="AC37" s="5"/>
    </x:row>
    <x:row r="38">
      <x:c r="A38" s="5"/>
      <x:c r="B38" s="6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 t="str">
        <x:f t="shared" si="0"/>
      </x:c>
      <x:c r="P38" s="5" t="str">
        <x:f t="shared" si="1"/>
      </x:c>
      <x:c r="Q38" s="5"/>
      <x:c r="R38" s="5"/>
      <x:c r="S38" s="5"/>
      <x:c r="T38" s="5"/>
      <x:c r="U38" s="5"/>
      <x:c r="V38" s="5"/>
      <x:c r="W38" s="6"/>
      <x:c r="X38" s="6"/>
      <x:c r="Y38" s="5"/>
      <x:c r="Z38" s="5"/>
      <x:c r="AA38" s="5"/>
      <x:c r="AB38" s="6"/>
      <x:c r="AC38" s="5"/>
    </x:row>
    <x:row r="39">
      <x:c r="A39" s="5"/>
      <x:c r="B39" s="6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 t="str">
        <x:f t="shared" si="0"/>
      </x:c>
      <x:c r="P39" s="5" t="str">
        <x:f t="shared" si="1"/>
      </x:c>
      <x:c r="Q39" s="5"/>
      <x:c r="R39" s="5"/>
      <x:c r="S39" s="5"/>
      <x:c r="T39" s="5"/>
      <x:c r="U39" s="5"/>
      <x:c r="V39" s="5"/>
      <x:c r="W39" s="6"/>
      <x:c r="X39" s="6"/>
      <x:c r="Y39" s="5"/>
      <x:c r="Z39" s="5"/>
      <x:c r="AA39" s="5"/>
      <x:c r="AB39" s="6"/>
      <x:c r="AC39" s="5"/>
    </x:row>
    <x:row r="40">
      <x:c r="A40" s="5"/>
      <x:c r="B40" s="6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 t="str">
        <x:f t="shared" si="0"/>
      </x:c>
      <x:c r="P40" s="5" t="str">
        <x:f t="shared" si="1"/>
      </x:c>
      <x:c r="Q40" s="5"/>
      <x:c r="R40" s="5"/>
      <x:c r="S40" s="5"/>
      <x:c r="T40" s="5"/>
      <x:c r="U40" s="5"/>
      <x:c r="V40" s="5"/>
      <x:c r="W40" s="6"/>
      <x:c r="X40" s="6"/>
      <x:c r="Y40" s="5"/>
      <x:c r="Z40" s="5"/>
      <x:c r="AA40" s="5"/>
      <x:c r="AB40" s="6"/>
      <x:c r="AC40" s="5"/>
    </x:row>
    <x:row r="41">
      <x:c r="A41" s="5"/>
      <x:c r="B41" s="6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 t="str">
        <x:f t="shared" si="0"/>
      </x:c>
      <x:c r="P41" s="5" t="str">
        <x:f t="shared" si="1"/>
      </x:c>
      <x:c r="Q41" s="5"/>
      <x:c r="R41" s="5"/>
      <x:c r="S41" s="5"/>
      <x:c r="T41" s="5"/>
      <x:c r="U41" s="5"/>
      <x:c r="V41" s="5"/>
      <x:c r="W41" s="6"/>
      <x:c r="X41" s="6"/>
      <x:c r="Y41" s="5"/>
      <x:c r="Z41" s="5"/>
      <x:c r="AA41" s="5"/>
      <x:c r="AB41" s="6"/>
      <x:c r="AC41" s="5"/>
    </x:row>
    <x:row r="42">
      <x:c r="A42" s="5"/>
      <x:c r="B42" s="6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 t="str">
        <x:f t="shared" si="0"/>
      </x:c>
      <x:c r="P42" s="5" t="str">
        <x:f t="shared" si="1"/>
      </x:c>
      <x:c r="Q42" s="5"/>
      <x:c r="R42" s="5"/>
      <x:c r="S42" s="5"/>
      <x:c r="T42" s="5"/>
      <x:c r="U42" s="5"/>
      <x:c r="V42" s="5"/>
      <x:c r="W42" s="6"/>
      <x:c r="X42" s="6"/>
      <x:c r="Y42" s="5"/>
      <x:c r="Z42" s="5"/>
      <x:c r="AA42" s="5"/>
      <x:c r="AB42" s="6"/>
      <x:c r="AC42" s="5"/>
    </x:row>
    <x:row r="43">
      <x:c r="A43" s="5"/>
      <x:c r="B43" s="6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 t="str">
        <x:f t="shared" si="0"/>
      </x:c>
      <x:c r="P43" s="5" t="str">
        <x:f t="shared" si="1"/>
      </x:c>
      <x:c r="Q43" s="5"/>
      <x:c r="R43" s="5"/>
      <x:c r="S43" s="5"/>
      <x:c r="T43" s="5"/>
      <x:c r="U43" s="5"/>
      <x:c r="V43" s="5"/>
      <x:c r="W43" s="6"/>
      <x:c r="X43" s="6"/>
      <x:c r="Y43" s="5"/>
      <x:c r="Z43" s="5"/>
      <x:c r="AA43" s="5"/>
      <x:c r="AB43" s="6"/>
      <x:c r="AC43" s="5"/>
    </x:row>
    <x:row r="44">
      <x:c r="A44" s="5"/>
      <x:c r="B44" s="6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 t="str">
        <x:f t="shared" si="0"/>
      </x:c>
      <x:c r="P44" s="5" t="str">
        <x:f t="shared" si="1"/>
      </x:c>
      <x:c r="Q44" s="5"/>
      <x:c r="R44" s="5"/>
      <x:c r="S44" s="5"/>
      <x:c r="T44" s="5"/>
      <x:c r="U44" s="5"/>
      <x:c r="V44" s="5"/>
      <x:c r="W44" s="6"/>
      <x:c r="X44" s="6"/>
      <x:c r="Y44" s="5"/>
      <x:c r="Z44" s="5"/>
      <x:c r="AA44" s="5"/>
      <x:c r="AB44" s="6"/>
      <x:c r="AC44" s="5"/>
    </x:row>
    <x:row r="45">
      <x:c r="A45" s="5"/>
      <x:c r="B45" s="6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 t="str">
        <x:f t="shared" si="0"/>
      </x:c>
      <x:c r="P45" s="5" t="str">
        <x:f t="shared" si="1"/>
      </x:c>
      <x:c r="Q45" s="5"/>
      <x:c r="R45" s="5"/>
      <x:c r="S45" s="5"/>
      <x:c r="T45" s="5"/>
      <x:c r="U45" s="5"/>
      <x:c r="V45" s="5"/>
      <x:c r="W45" s="6"/>
      <x:c r="X45" s="6"/>
      <x:c r="Y45" s="5"/>
      <x:c r="Z45" s="5"/>
      <x:c r="AA45" s="5"/>
      <x:c r="AB45" s="6"/>
      <x:c r="AC45" s="5"/>
    </x:row>
    <x:row r="46">
      <x:c r="A46" s="5"/>
      <x:c r="B46" s="6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 t="str">
        <x:f t="shared" si="0"/>
      </x:c>
      <x:c r="P46" s="5" t="str">
        <x:f t="shared" si="1"/>
      </x:c>
      <x:c r="Q46" s="5"/>
      <x:c r="R46" s="5"/>
      <x:c r="S46" s="5"/>
      <x:c r="T46" s="5"/>
      <x:c r="U46" s="5"/>
      <x:c r="V46" s="5"/>
      <x:c r="W46" s="6"/>
      <x:c r="X46" s="6"/>
      <x:c r="Y46" s="5"/>
      <x:c r="Z46" s="5"/>
      <x:c r="AA46" s="5"/>
      <x:c r="AB46" s="6"/>
      <x:c r="AC46" s="5"/>
    </x:row>
    <x:row r="47">
      <x:c r="A47" s="5"/>
      <x:c r="B47" s="6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 t="str">
        <x:f t="shared" ref="O47:O78" si="2">IF(OR(M47="",N47=""),"",M47*N47)</x:f>
      </x:c>
      <x:c r="P47" s="5" t="str">
        <x:f t="shared" ref="P47:P78" si="3">IF(O47="","",IF(O47&lt;=4,"Bajo",IF(O47&lt;=9,"Medio",IF(O47&lt;=16,"Alto","Crítico"))))</x:f>
      </x:c>
      <x:c r="Q47" s="5"/>
      <x:c r="R47" s="5"/>
      <x:c r="S47" s="5"/>
      <x:c r="T47" s="5"/>
      <x:c r="U47" s="5"/>
      <x:c r="V47" s="5"/>
      <x:c r="W47" s="6"/>
      <x:c r="X47" s="6"/>
      <x:c r="Y47" s="5"/>
      <x:c r="Z47" s="5"/>
      <x:c r="AA47" s="5"/>
      <x:c r="AB47" s="6"/>
      <x:c r="AC47" s="5"/>
    </x:row>
    <x:row r="48">
      <x:c r="A48" s="5"/>
      <x:c r="B48" s="6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 t="str">
        <x:f t="shared" si="2"/>
      </x:c>
      <x:c r="P48" s="5" t="str">
        <x:f t="shared" si="3"/>
      </x:c>
      <x:c r="Q48" s="5"/>
      <x:c r="R48" s="5"/>
      <x:c r="S48" s="5"/>
      <x:c r="T48" s="5"/>
      <x:c r="U48" s="5"/>
      <x:c r="V48" s="5"/>
      <x:c r="W48" s="6"/>
      <x:c r="X48" s="6"/>
      <x:c r="Y48" s="5"/>
      <x:c r="Z48" s="5"/>
      <x:c r="AA48" s="5"/>
      <x:c r="AB48" s="6"/>
      <x:c r="AC48" s="5"/>
    </x:row>
    <x:row r="49">
      <x:c r="A49" s="5"/>
      <x:c r="B49" s="6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 t="str">
        <x:f t="shared" si="2"/>
      </x:c>
      <x:c r="P49" s="5" t="str">
        <x:f t="shared" si="3"/>
      </x:c>
      <x:c r="Q49" s="5"/>
      <x:c r="R49" s="5"/>
      <x:c r="S49" s="5"/>
      <x:c r="T49" s="5"/>
      <x:c r="U49" s="5"/>
      <x:c r="V49" s="5"/>
      <x:c r="W49" s="6"/>
      <x:c r="X49" s="6"/>
      <x:c r="Y49" s="5"/>
      <x:c r="Z49" s="5"/>
      <x:c r="AA49" s="5"/>
      <x:c r="AB49" s="6"/>
      <x:c r="AC49" s="5"/>
    </x:row>
    <x:row r="50">
      <x:c r="A50" s="5"/>
      <x:c r="B50" s="6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 t="str">
        <x:f t="shared" si="2"/>
      </x:c>
      <x:c r="P50" s="5" t="str">
        <x:f t="shared" si="3"/>
      </x:c>
      <x:c r="Q50" s="5"/>
      <x:c r="R50" s="5"/>
      <x:c r="S50" s="5"/>
      <x:c r="T50" s="5"/>
      <x:c r="U50" s="5"/>
      <x:c r="V50" s="5"/>
      <x:c r="W50" s="6"/>
      <x:c r="X50" s="6"/>
      <x:c r="Y50" s="5"/>
      <x:c r="Z50" s="5"/>
      <x:c r="AA50" s="5"/>
      <x:c r="AB50" s="6"/>
      <x:c r="AC50" s="5"/>
    </x:row>
    <x:row r="51">
      <x:c r="A51" s="5"/>
      <x:c r="B51" s="6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 t="str">
        <x:f t="shared" si="2"/>
      </x:c>
      <x:c r="P51" s="5" t="str">
        <x:f t="shared" si="3"/>
      </x:c>
      <x:c r="Q51" s="5"/>
      <x:c r="R51" s="5"/>
      <x:c r="S51" s="5"/>
      <x:c r="T51" s="5"/>
      <x:c r="U51" s="5"/>
      <x:c r="V51" s="5"/>
      <x:c r="W51" s="6"/>
      <x:c r="X51" s="6"/>
      <x:c r="Y51" s="5"/>
      <x:c r="Z51" s="5"/>
      <x:c r="AA51" s="5"/>
      <x:c r="AB51" s="6"/>
      <x:c r="AC51" s="5"/>
    </x:row>
    <x:row r="52">
      <x:c r="A52" s="5"/>
      <x:c r="B52" s="6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 t="str">
        <x:f t="shared" si="2"/>
      </x:c>
      <x:c r="P52" s="5" t="str">
        <x:f t="shared" si="3"/>
      </x:c>
      <x:c r="Q52" s="5"/>
      <x:c r="R52" s="5"/>
      <x:c r="S52" s="5"/>
      <x:c r="T52" s="5"/>
      <x:c r="U52" s="5"/>
      <x:c r="V52" s="5"/>
      <x:c r="W52" s="6"/>
      <x:c r="X52" s="6"/>
      <x:c r="Y52" s="5"/>
      <x:c r="Z52" s="5"/>
      <x:c r="AA52" s="5"/>
      <x:c r="AB52" s="6"/>
      <x:c r="AC52" s="5"/>
    </x:row>
    <x:row r="53">
      <x:c r="A53" s="5"/>
      <x:c r="B53" s="6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 t="str">
        <x:f t="shared" si="2"/>
      </x:c>
      <x:c r="P53" s="5" t="str">
        <x:f t="shared" si="3"/>
      </x:c>
      <x:c r="Q53" s="5"/>
      <x:c r="R53" s="5"/>
      <x:c r="S53" s="5"/>
      <x:c r="T53" s="5"/>
      <x:c r="U53" s="5"/>
      <x:c r="V53" s="5"/>
      <x:c r="W53" s="6"/>
      <x:c r="X53" s="6"/>
      <x:c r="Y53" s="5"/>
      <x:c r="Z53" s="5"/>
      <x:c r="AA53" s="5"/>
      <x:c r="AB53" s="6"/>
      <x:c r="AC53" s="5"/>
    </x:row>
    <x:row r="54">
      <x:c r="A54" s="5"/>
      <x:c r="B54" s="6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 t="str">
        <x:f t="shared" si="2"/>
      </x:c>
      <x:c r="P54" s="5" t="str">
        <x:f t="shared" si="3"/>
      </x:c>
      <x:c r="Q54" s="5"/>
      <x:c r="R54" s="5"/>
      <x:c r="S54" s="5"/>
      <x:c r="T54" s="5"/>
      <x:c r="U54" s="5"/>
      <x:c r="V54" s="5"/>
      <x:c r="W54" s="6"/>
      <x:c r="X54" s="6"/>
      <x:c r="Y54" s="5"/>
      <x:c r="Z54" s="5"/>
      <x:c r="AA54" s="5"/>
      <x:c r="AB54" s="6"/>
      <x:c r="AC54" s="5"/>
    </x:row>
    <x:row r="55">
      <x:c r="A55" s="5"/>
      <x:c r="B55" s="6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 t="str">
        <x:f t="shared" si="2"/>
      </x:c>
      <x:c r="P55" s="5" t="str">
        <x:f t="shared" si="3"/>
      </x:c>
      <x:c r="Q55" s="5"/>
      <x:c r="R55" s="5"/>
      <x:c r="S55" s="5"/>
      <x:c r="T55" s="5"/>
      <x:c r="U55" s="5"/>
      <x:c r="V55" s="5"/>
      <x:c r="W55" s="6"/>
      <x:c r="X55" s="6"/>
      <x:c r="Y55" s="5"/>
      <x:c r="Z55" s="5"/>
      <x:c r="AA55" s="5"/>
      <x:c r="AB55" s="6"/>
      <x:c r="AC55" s="5"/>
    </x:row>
    <x:row r="56">
      <x:c r="A56" s="5"/>
      <x:c r="B56" s="6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 t="str">
        <x:f t="shared" si="2"/>
      </x:c>
      <x:c r="P56" s="5" t="str">
        <x:f t="shared" si="3"/>
      </x:c>
      <x:c r="Q56" s="5"/>
      <x:c r="R56" s="5"/>
      <x:c r="S56" s="5"/>
      <x:c r="T56" s="5"/>
      <x:c r="U56" s="5"/>
      <x:c r="V56" s="5"/>
      <x:c r="W56" s="6"/>
      <x:c r="X56" s="6"/>
      <x:c r="Y56" s="5"/>
      <x:c r="Z56" s="5"/>
      <x:c r="AA56" s="5"/>
      <x:c r="AB56" s="6"/>
      <x:c r="AC56" s="5"/>
    </x:row>
    <x:row r="57">
      <x:c r="A57" s="5"/>
      <x:c r="B57" s="6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 t="str">
        <x:f t="shared" si="2"/>
      </x:c>
      <x:c r="P57" s="5" t="str">
        <x:f t="shared" si="3"/>
      </x:c>
      <x:c r="Q57" s="5"/>
      <x:c r="R57" s="5"/>
      <x:c r="S57" s="5"/>
      <x:c r="T57" s="5"/>
      <x:c r="U57" s="5"/>
      <x:c r="V57" s="5"/>
      <x:c r="W57" s="6"/>
      <x:c r="X57" s="6"/>
      <x:c r="Y57" s="5"/>
      <x:c r="Z57" s="5"/>
      <x:c r="AA57" s="5"/>
      <x:c r="AB57" s="6"/>
      <x:c r="AC57" s="5"/>
    </x:row>
    <x:row r="58">
      <x:c r="A58" s="5"/>
      <x:c r="B58" s="6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 t="str">
        <x:f t="shared" si="2"/>
      </x:c>
      <x:c r="P58" s="5" t="str">
        <x:f t="shared" si="3"/>
      </x:c>
      <x:c r="Q58" s="5"/>
      <x:c r="R58" s="5"/>
      <x:c r="S58" s="5"/>
      <x:c r="T58" s="5"/>
      <x:c r="U58" s="5"/>
      <x:c r="V58" s="5"/>
      <x:c r="W58" s="6"/>
      <x:c r="X58" s="6"/>
      <x:c r="Y58" s="5"/>
      <x:c r="Z58" s="5"/>
      <x:c r="AA58" s="5"/>
      <x:c r="AB58" s="6"/>
      <x:c r="AC58" s="5"/>
    </x:row>
    <x:row r="59">
      <x:c r="A59" s="5"/>
      <x:c r="B59" s="6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 t="str">
        <x:f t="shared" si="2"/>
      </x:c>
      <x:c r="P59" s="5" t="str">
        <x:f t="shared" si="3"/>
      </x:c>
      <x:c r="Q59" s="5"/>
      <x:c r="R59" s="5"/>
      <x:c r="S59" s="5"/>
      <x:c r="T59" s="5"/>
      <x:c r="U59" s="5"/>
      <x:c r="V59" s="5"/>
      <x:c r="W59" s="6"/>
      <x:c r="X59" s="6"/>
      <x:c r="Y59" s="5"/>
      <x:c r="Z59" s="5"/>
      <x:c r="AA59" s="5"/>
      <x:c r="AB59" s="6"/>
      <x:c r="AC59" s="5"/>
    </x:row>
    <x:row r="60">
      <x:c r="A60" s="5"/>
      <x:c r="B60" s="6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 t="str">
        <x:f t="shared" si="2"/>
      </x:c>
      <x:c r="P60" s="5" t="str">
        <x:f t="shared" si="3"/>
      </x:c>
      <x:c r="Q60" s="5"/>
      <x:c r="R60" s="5"/>
      <x:c r="S60" s="5"/>
      <x:c r="T60" s="5"/>
      <x:c r="U60" s="5"/>
      <x:c r="V60" s="5"/>
      <x:c r="W60" s="6"/>
      <x:c r="X60" s="6"/>
      <x:c r="Y60" s="5"/>
      <x:c r="Z60" s="5"/>
      <x:c r="AA60" s="5"/>
      <x:c r="AB60" s="6"/>
      <x:c r="AC60" s="5"/>
    </x:row>
    <x:row r="61">
      <x:c r="A61" s="5"/>
      <x:c r="B61" s="6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 t="str">
        <x:f t="shared" si="2"/>
      </x:c>
      <x:c r="P61" s="5" t="str">
        <x:f t="shared" si="3"/>
      </x:c>
      <x:c r="Q61" s="5"/>
      <x:c r="R61" s="5"/>
      <x:c r="S61" s="5"/>
      <x:c r="T61" s="5"/>
      <x:c r="U61" s="5"/>
      <x:c r="V61" s="5"/>
      <x:c r="W61" s="6"/>
      <x:c r="X61" s="6"/>
      <x:c r="Y61" s="5"/>
      <x:c r="Z61" s="5"/>
      <x:c r="AA61" s="5"/>
      <x:c r="AB61" s="6"/>
      <x:c r="AC61" s="5"/>
    </x:row>
    <x:row r="62">
      <x:c r="A62" s="5"/>
      <x:c r="B62" s="6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 t="str">
        <x:f t="shared" si="2"/>
      </x:c>
      <x:c r="P62" s="5" t="str">
        <x:f t="shared" si="3"/>
      </x:c>
      <x:c r="Q62" s="5"/>
      <x:c r="R62" s="5"/>
      <x:c r="S62" s="5"/>
      <x:c r="T62" s="5"/>
      <x:c r="U62" s="5"/>
      <x:c r="V62" s="5"/>
      <x:c r="W62" s="6"/>
      <x:c r="X62" s="6"/>
      <x:c r="Y62" s="5"/>
      <x:c r="Z62" s="5"/>
      <x:c r="AA62" s="5"/>
      <x:c r="AB62" s="6"/>
      <x:c r="AC62" s="5"/>
    </x:row>
    <x:row r="63">
      <x:c r="A63" s="5"/>
      <x:c r="B63" s="6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 t="str">
        <x:f t="shared" si="2"/>
      </x:c>
      <x:c r="P63" s="5" t="str">
        <x:f t="shared" si="3"/>
      </x:c>
      <x:c r="Q63" s="5"/>
      <x:c r="R63" s="5"/>
      <x:c r="S63" s="5"/>
      <x:c r="T63" s="5"/>
      <x:c r="U63" s="5"/>
      <x:c r="V63" s="5"/>
      <x:c r="W63" s="6"/>
      <x:c r="X63" s="6"/>
      <x:c r="Y63" s="5"/>
      <x:c r="Z63" s="5"/>
      <x:c r="AA63" s="5"/>
      <x:c r="AB63" s="6"/>
      <x:c r="AC63" s="5"/>
    </x:row>
    <x:row r="64">
      <x:c r="A64" s="5"/>
      <x:c r="B64" s="6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 t="str">
        <x:f t="shared" si="2"/>
      </x:c>
      <x:c r="P64" s="5" t="str">
        <x:f t="shared" si="3"/>
      </x:c>
      <x:c r="Q64" s="5"/>
      <x:c r="R64" s="5"/>
      <x:c r="S64" s="5"/>
      <x:c r="T64" s="5"/>
      <x:c r="U64" s="5"/>
      <x:c r="V64" s="5"/>
      <x:c r="W64" s="6"/>
      <x:c r="X64" s="6"/>
      <x:c r="Y64" s="5"/>
      <x:c r="Z64" s="5"/>
      <x:c r="AA64" s="5"/>
      <x:c r="AB64" s="6"/>
      <x:c r="AC64" s="5"/>
    </x:row>
    <x:row r="65">
      <x:c r="A65" s="5"/>
      <x:c r="B65" s="6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 t="str">
        <x:f t="shared" si="2"/>
      </x:c>
      <x:c r="P65" s="5" t="str">
        <x:f t="shared" si="3"/>
      </x:c>
      <x:c r="Q65" s="5"/>
      <x:c r="R65" s="5"/>
      <x:c r="S65" s="5"/>
      <x:c r="T65" s="5"/>
      <x:c r="U65" s="5"/>
      <x:c r="V65" s="5"/>
      <x:c r="W65" s="6"/>
      <x:c r="X65" s="6"/>
      <x:c r="Y65" s="5"/>
      <x:c r="Z65" s="5"/>
      <x:c r="AA65" s="5"/>
      <x:c r="AB65" s="6"/>
      <x:c r="AC65" s="5"/>
    </x:row>
    <x:row r="66">
      <x:c r="A66" s="5"/>
      <x:c r="B66" s="6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 t="str">
        <x:f t="shared" si="2"/>
      </x:c>
      <x:c r="P66" s="5" t="str">
        <x:f t="shared" si="3"/>
      </x:c>
      <x:c r="Q66" s="5"/>
      <x:c r="R66" s="5"/>
      <x:c r="S66" s="5"/>
      <x:c r="T66" s="5"/>
      <x:c r="U66" s="5"/>
      <x:c r="V66" s="5"/>
      <x:c r="W66" s="6"/>
      <x:c r="X66" s="6"/>
      <x:c r="Y66" s="5"/>
      <x:c r="Z66" s="5"/>
      <x:c r="AA66" s="5"/>
      <x:c r="AB66" s="6"/>
      <x:c r="AC66" s="5"/>
    </x:row>
    <x:row r="67">
      <x:c r="A67" s="5"/>
      <x:c r="B67" s="6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 t="str">
        <x:f t="shared" si="2"/>
      </x:c>
      <x:c r="P67" s="5" t="str">
        <x:f t="shared" si="3"/>
      </x:c>
      <x:c r="Q67" s="5"/>
      <x:c r="R67" s="5"/>
      <x:c r="S67" s="5"/>
      <x:c r="T67" s="5"/>
      <x:c r="U67" s="5"/>
      <x:c r="V67" s="5"/>
      <x:c r="W67" s="6"/>
      <x:c r="X67" s="6"/>
      <x:c r="Y67" s="5"/>
      <x:c r="Z67" s="5"/>
      <x:c r="AA67" s="5"/>
      <x:c r="AB67" s="6"/>
      <x:c r="AC67" s="5"/>
    </x:row>
    <x:row r="68">
      <x:c r="A68" s="5"/>
      <x:c r="B68" s="6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 t="str">
        <x:f t="shared" si="2"/>
      </x:c>
      <x:c r="P68" s="5" t="str">
        <x:f t="shared" si="3"/>
      </x:c>
      <x:c r="Q68" s="5"/>
      <x:c r="R68" s="5"/>
      <x:c r="S68" s="5"/>
      <x:c r="T68" s="5"/>
      <x:c r="U68" s="5"/>
      <x:c r="V68" s="5"/>
      <x:c r="W68" s="6"/>
      <x:c r="X68" s="6"/>
      <x:c r="Y68" s="5"/>
      <x:c r="Z68" s="5"/>
      <x:c r="AA68" s="5"/>
      <x:c r="AB68" s="6"/>
      <x:c r="AC68" s="5"/>
    </x:row>
    <x:row r="69">
      <x:c r="A69" s="5"/>
      <x:c r="B69" s="6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 t="str">
        <x:f t="shared" si="2"/>
      </x:c>
      <x:c r="P69" s="5" t="str">
        <x:f t="shared" si="3"/>
      </x:c>
      <x:c r="Q69" s="5"/>
      <x:c r="R69" s="5"/>
      <x:c r="S69" s="5"/>
      <x:c r="T69" s="5"/>
      <x:c r="U69" s="5"/>
      <x:c r="V69" s="5"/>
      <x:c r="W69" s="6"/>
      <x:c r="X69" s="6"/>
      <x:c r="Y69" s="5"/>
      <x:c r="Z69" s="5"/>
      <x:c r="AA69" s="5"/>
      <x:c r="AB69" s="6"/>
      <x:c r="AC69" s="5"/>
    </x:row>
    <x:row r="70">
      <x:c r="A70" s="5"/>
      <x:c r="B70" s="6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 t="str">
        <x:f t="shared" si="2"/>
      </x:c>
      <x:c r="P70" s="5" t="str">
        <x:f t="shared" si="3"/>
      </x:c>
      <x:c r="Q70" s="5"/>
      <x:c r="R70" s="5"/>
      <x:c r="S70" s="5"/>
      <x:c r="T70" s="5"/>
      <x:c r="U70" s="5"/>
      <x:c r="V70" s="5"/>
      <x:c r="W70" s="6"/>
      <x:c r="X70" s="6"/>
      <x:c r="Y70" s="5"/>
      <x:c r="Z70" s="5"/>
      <x:c r="AA70" s="5"/>
      <x:c r="AB70" s="6"/>
      <x:c r="AC70" s="5"/>
    </x:row>
    <x:row r="71">
      <x:c r="A71" s="5"/>
      <x:c r="B71" s="6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 t="str">
        <x:f t="shared" si="2"/>
      </x:c>
      <x:c r="P71" s="5" t="str">
        <x:f t="shared" si="3"/>
      </x:c>
      <x:c r="Q71" s="5"/>
      <x:c r="R71" s="5"/>
      <x:c r="S71" s="5"/>
      <x:c r="T71" s="5"/>
      <x:c r="U71" s="5"/>
      <x:c r="V71" s="5"/>
      <x:c r="W71" s="6"/>
      <x:c r="X71" s="6"/>
      <x:c r="Y71" s="5"/>
      <x:c r="Z71" s="5"/>
      <x:c r="AA71" s="5"/>
      <x:c r="AB71" s="6"/>
      <x:c r="AC71" s="5"/>
    </x:row>
    <x:row r="72">
      <x:c r="A72" s="5"/>
      <x:c r="B72" s="6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 t="str">
        <x:f t="shared" si="2"/>
      </x:c>
      <x:c r="P72" s="5" t="str">
        <x:f t="shared" si="3"/>
      </x:c>
      <x:c r="Q72" s="5"/>
      <x:c r="R72" s="5"/>
      <x:c r="S72" s="5"/>
      <x:c r="T72" s="5"/>
      <x:c r="U72" s="5"/>
      <x:c r="V72" s="5"/>
      <x:c r="W72" s="6"/>
      <x:c r="X72" s="6"/>
      <x:c r="Y72" s="5"/>
      <x:c r="Z72" s="5"/>
      <x:c r="AA72" s="5"/>
      <x:c r="AB72" s="6"/>
      <x:c r="AC72" s="5"/>
    </x:row>
    <x:row r="73">
      <x:c r="A73" s="5"/>
      <x:c r="B73" s="6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 t="str">
        <x:f t="shared" si="2"/>
      </x:c>
      <x:c r="P73" s="5" t="str">
        <x:f t="shared" si="3"/>
      </x:c>
      <x:c r="Q73" s="5"/>
      <x:c r="R73" s="5"/>
      <x:c r="S73" s="5"/>
      <x:c r="T73" s="5"/>
      <x:c r="U73" s="5"/>
      <x:c r="V73" s="5"/>
      <x:c r="W73" s="6"/>
      <x:c r="X73" s="6"/>
      <x:c r="Y73" s="5"/>
      <x:c r="Z73" s="5"/>
      <x:c r="AA73" s="5"/>
      <x:c r="AB73" s="6"/>
      <x:c r="AC73" s="5"/>
    </x:row>
    <x:row r="74">
      <x:c r="A74" s="5"/>
      <x:c r="B74" s="6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 t="str">
        <x:f t="shared" si="2"/>
      </x:c>
      <x:c r="P74" s="5" t="str">
        <x:f t="shared" si="3"/>
      </x:c>
      <x:c r="Q74" s="5"/>
      <x:c r="R74" s="5"/>
      <x:c r="S74" s="5"/>
      <x:c r="T74" s="5"/>
      <x:c r="U74" s="5"/>
      <x:c r="V74" s="5"/>
      <x:c r="W74" s="6"/>
      <x:c r="X74" s="6"/>
      <x:c r="Y74" s="5"/>
      <x:c r="Z74" s="5"/>
      <x:c r="AA74" s="5"/>
      <x:c r="AB74" s="6"/>
      <x:c r="AC74" s="5"/>
    </x:row>
    <x:row r="75">
      <x:c r="A75" s="5"/>
      <x:c r="B75" s="6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 t="str">
        <x:f t="shared" si="2"/>
      </x:c>
      <x:c r="P75" s="5" t="str">
        <x:f t="shared" si="3"/>
      </x:c>
      <x:c r="Q75" s="5"/>
      <x:c r="R75" s="5"/>
      <x:c r="S75" s="5"/>
      <x:c r="T75" s="5"/>
      <x:c r="U75" s="5"/>
      <x:c r="V75" s="5"/>
      <x:c r="W75" s="6"/>
      <x:c r="X75" s="6"/>
      <x:c r="Y75" s="5"/>
      <x:c r="Z75" s="5"/>
      <x:c r="AA75" s="5"/>
      <x:c r="AB75" s="6"/>
      <x:c r="AC75" s="5"/>
    </x:row>
    <x:row r="76">
      <x:c r="A76" s="5"/>
      <x:c r="B76" s="6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 t="str">
        <x:f t="shared" si="2"/>
      </x:c>
      <x:c r="P76" s="5" t="str">
        <x:f t="shared" si="3"/>
      </x:c>
      <x:c r="Q76" s="5"/>
      <x:c r="R76" s="5"/>
      <x:c r="S76" s="5"/>
      <x:c r="T76" s="5"/>
      <x:c r="U76" s="5"/>
      <x:c r="V76" s="5"/>
      <x:c r="W76" s="6"/>
      <x:c r="X76" s="6"/>
      <x:c r="Y76" s="5"/>
      <x:c r="Z76" s="5"/>
      <x:c r="AA76" s="5"/>
      <x:c r="AB76" s="6"/>
      <x:c r="AC76" s="5"/>
    </x:row>
    <x:row r="77">
      <x:c r="A77" s="5"/>
      <x:c r="B77" s="6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 t="str">
        <x:f t="shared" si="2"/>
      </x:c>
      <x:c r="P77" s="5" t="str">
        <x:f t="shared" si="3"/>
      </x:c>
      <x:c r="Q77" s="5"/>
      <x:c r="R77" s="5"/>
      <x:c r="S77" s="5"/>
      <x:c r="T77" s="5"/>
      <x:c r="U77" s="5"/>
      <x:c r="V77" s="5"/>
      <x:c r="W77" s="6"/>
      <x:c r="X77" s="6"/>
      <x:c r="Y77" s="5"/>
      <x:c r="Z77" s="5"/>
      <x:c r="AA77" s="5"/>
      <x:c r="AB77" s="6"/>
      <x:c r="AC77" s="5"/>
    </x:row>
    <x:row r="78">
      <x:c r="A78" s="5"/>
      <x:c r="B78" s="6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 t="str">
        <x:f t="shared" si="2"/>
      </x:c>
      <x:c r="P78" s="5" t="str">
        <x:f t="shared" si="3"/>
      </x:c>
      <x:c r="Q78" s="5"/>
      <x:c r="R78" s="5"/>
      <x:c r="S78" s="5"/>
      <x:c r="T78" s="5"/>
      <x:c r="U78" s="5"/>
      <x:c r="V78" s="5"/>
      <x:c r="W78" s="6"/>
      <x:c r="X78" s="6"/>
      <x:c r="Y78" s="5"/>
      <x:c r="Z78" s="5"/>
      <x:c r="AA78" s="5"/>
      <x:c r="AB78" s="6"/>
      <x:c r="AC78" s="5"/>
    </x:row>
    <x:row r="79">
      <x:c r="A79" s="5"/>
      <x:c r="B79" s="6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 t="str">
        <x:f t="shared" ref="O79:O110" si="4">IF(OR(M79="",N79=""),"",M79*N79)</x:f>
      </x:c>
      <x:c r="P79" s="5" t="str">
        <x:f t="shared" ref="P79:P110" si="5">IF(O79="","",IF(O79&lt;=4,"Bajo",IF(O79&lt;=9,"Medio",IF(O79&lt;=16,"Alto","Crítico"))))</x:f>
      </x:c>
      <x:c r="Q79" s="5"/>
      <x:c r="R79" s="5"/>
      <x:c r="S79" s="5"/>
      <x:c r="T79" s="5"/>
      <x:c r="U79" s="5"/>
      <x:c r="V79" s="5"/>
      <x:c r="W79" s="6"/>
      <x:c r="X79" s="6"/>
      <x:c r="Y79" s="5"/>
      <x:c r="Z79" s="5"/>
      <x:c r="AA79" s="5"/>
      <x:c r="AB79" s="6"/>
      <x:c r="AC79" s="5"/>
    </x:row>
    <x:row r="80">
      <x:c r="A80" s="5"/>
      <x:c r="B80" s="6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 t="str">
        <x:f t="shared" si="4"/>
      </x:c>
      <x:c r="P80" s="5" t="str">
        <x:f t="shared" si="5"/>
      </x:c>
      <x:c r="Q80" s="5"/>
      <x:c r="R80" s="5"/>
      <x:c r="S80" s="5"/>
      <x:c r="T80" s="5"/>
      <x:c r="U80" s="5"/>
      <x:c r="V80" s="5"/>
      <x:c r="W80" s="6"/>
      <x:c r="X80" s="6"/>
      <x:c r="Y80" s="5"/>
      <x:c r="Z80" s="5"/>
      <x:c r="AA80" s="5"/>
      <x:c r="AB80" s="6"/>
      <x:c r="AC80" s="5"/>
    </x:row>
    <x:row r="81">
      <x:c r="A81" s="5"/>
      <x:c r="B81" s="6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 t="str">
        <x:f t="shared" si="4"/>
      </x:c>
      <x:c r="P81" s="5" t="str">
        <x:f t="shared" si="5"/>
      </x:c>
      <x:c r="Q81" s="5"/>
      <x:c r="R81" s="5"/>
      <x:c r="S81" s="5"/>
      <x:c r="T81" s="5"/>
      <x:c r="U81" s="5"/>
      <x:c r="V81" s="5"/>
      <x:c r="W81" s="6"/>
      <x:c r="X81" s="6"/>
      <x:c r="Y81" s="5"/>
      <x:c r="Z81" s="5"/>
      <x:c r="AA81" s="5"/>
      <x:c r="AB81" s="6"/>
      <x:c r="AC81" s="5"/>
    </x:row>
    <x:row r="82">
      <x:c r="A82" s="5"/>
      <x:c r="B82" s="6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 t="str">
        <x:f t="shared" si="4"/>
      </x:c>
      <x:c r="P82" s="5" t="str">
        <x:f t="shared" si="5"/>
      </x:c>
      <x:c r="Q82" s="5"/>
      <x:c r="R82" s="5"/>
      <x:c r="S82" s="5"/>
      <x:c r="T82" s="5"/>
      <x:c r="U82" s="5"/>
      <x:c r="V82" s="5"/>
      <x:c r="W82" s="6"/>
      <x:c r="X82" s="6"/>
      <x:c r="Y82" s="5"/>
      <x:c r="Z82" s="5"/>
      <x:c r="AA82" s="5"/>
      <x:c r="AB82" s="6"/>
      <x:c r="AC82" s="5"/>
    </x:row>
    <x:row r="83">
      <x:c r="A83" s="5"/>
      <x:c r="B83" s="6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 t="str">
        <x:f t="shared" si="4"/>
      </x:c>
      <x:c r="P83" s="5" t="str">
        <x:f t="shared" si="5"/>
      </x:c>
      <x:c r="Q83" s="5"/>
      <x:c r="R83" s="5"/>
      <x:c r="S83" s="5"/>
      <x:c r="T83" s="5"/>
      <x:c r="U83" s="5"/>
      <x:c r="V83" s="5"/>
      <x:c r="W83" s="6"/>
      <x:c r="X83" s="6"/>
      <x:c r="Y83" s="5"/>
      <x:c r="Z83" s="5"/>
      <x:c r="AA83" s="5"/>
      <x:c r="AB83" s="6"/>
      <x:c r="AC83" s="5"/>
    </x:row>
    <x:row r="84">
      <x:c r="A84" s="5"/>
      <x:c r="B84" s="6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 t="str">
        <x:f t="shared" si="4"/>
      </x:c>
      <x:c r="P84" s="5" t="str">
        <x:f t="shared" si="5"/>
      </x:c>
      <x:c r="Q84" s="5"/>
      <x:c r="R84" s="5"/>
      <x:c r="S84" s="5"/>
      <x:c r="T84" s="5"/>
      <x:c r="U84" s="5"/>
      <x:c r="V84" s="5"/>
      <x:c r="W84" s="6"/>
      <x:c r="X84" s="6"/>
      <x:c r="Y84" s="5"/>
      <x:c r="Z84" s="5"/>
      <x:c r="AA84" s="5"/>
      <x:c r="AB84" s="6"/>
      <x:c r="AC84" s="5"/>
    </x:row>
    <x:row r="85">
      <x:c r="A85" s="5"/>
      <x:c r="B85" s="6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 t="str">
        <x:f t="shared" si="4"/>
      </x:c>
      <x:c r="P85" s="5" t="str">
        <x:f t="shared" si="5"/>
      </x:c>
      <x:c r="Q85" s="5"/>
      <x:c r="R85" s="5"/>
      <x:c r="S85" s="5"/>
      <x:c r="T85" s="5"/>
      <x:c r="U85" s="5"/>
      <x:c r="V85" s="5"/>
      <x:c r="W85" s="6"/>
      <x:c r="X85" s="6"/>
      <x:c r="Y85" s="5"/>
      <x:c r="Z85" s="5"/>
      <x:c r="AA85" s="5"/>
      <x:c r="AB85" s="6"/>
      <x:c r="AC85" s="5"/>
    </x:row>
    <x:row r="86">
      <x:c r="A86" s="5"/>
      <x:c r="B86" s="6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 t="str">
        <x:f t="shared" si="4"/>
      </x:c>
      <x:c r="P86" s="5" t="str">
        <x:f t="shared" si="5"/>
      </x:c>
      <x:c r="Q86" s="5"/>
      <x:c r="R86" s="5"/>
      <x:c r="S86" s="5"/>
      <x:c r="T86" s="5"/>
      <x:c r="U86" s="5"/>
      <x:c r="V86" s="5"/>
      <x:c r="W86" s="6"/>
      <x:c r="X86" s="6"/>
      <x:c r="Y86" s="5"/>
      <x:c r="Z86" s="5"/>
      <x:c r="AA86" s="5"/>
      <x:c r="AB86" s="6"/>
      <x:c r="AC86" s="5"/>
    </x:row>
    <x:row r="87">
      <x:c r="A87" s="5"/>
      <x:c r="B87" s="6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 t="str">
        <x:f t="shared" si="4"/>
      </x:c>
      <x:c r="P87" s="5" t="str">
        <x:f t="shared" si="5"/>
      </x:c>
      <x:c r="Q87" s="5"/>
      <x:c r="R87" s="5"/>
      <x:c r="S87" s="5"/>
      <x:c r="T87" s="5"/>
      <x:c r="U87" s="5"/>
      <x:c r="V87" s="5"/>
      <x:c r="W87" s="6"/>
      <x:c r="X87" s="6"/>
      <x:c r="Y87" s="5"/>
      <x:c r="Z87" s="5"/>
      <x:c r="AA87" s="5"/>
      <x:c r="AB87" s="6"/>
      <x:c r="AC87" s="5"/>
    </x:row>
    <x:row r="88">
      <x:c r="A88" s="5"/>
      <x:c r="B88" s="6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 t="str">
        <x:f t="shared" si="4"/>
      </x:c>
      <x:c r="P88" s="5" t="str">
        <x:f t="shared" si="5"/>
      </x:c>
      <x:c r="Q88" s="5"/>
      <x:c r="R88" s="5"/>
      <x:c r="S88" s="5"/>
      <x:c r="T88" s="5"/>
      <x:c r="U88" s="5"/>
      <x:c r="V88" s="5"/>
      <x:c r="W88" s="6"/>
      <x:c r="X88" s="6"/>
      <x:c r="Y88" s="5"/>
      <x:c r="Z88" s="5"/>
      <x:c r="AA88" s="5"/>
      <x:c r="AB88" s="6"/>
      <x:c r="AC88" s="5"/>
    </x:row>
    <x:row r="89">
      <x:c r="A89" s="5"/>
      <x:c r="B89" s="6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 t="str">
        <x:f t="shared" si="4"/>
      </x:c>
      <x:c r="P89" s="5" t="str">
        <x:f t="shared" si="5"/>
      </x:c>
      <x:c r="Q89" s="5"/>
      <x:c r="R89" s="5"/>
      <x:c r="S89" s="5"/>
      <x:c r="T89" s="5"/>
      <x:c r="U89" s="5"/>
      <x:c r="V89" s="5"/>
      <x:c r="W89" s="6"/>
      <x:c r="X89" s="6"/>
      <x:c r="Y89" s="5"/>
      <x:c r="Z89" s="5"/>
      <x:c r="AA89" s="5"/>
      <x:c r="AB89" s="6"/>
      <x:c r="AC89" s="5"/>
    </x:row>
    <x:row r="90">
      <x:c r="A90" s="5"/>
      <x:c r="B90" s="6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 t="str">
        <x:f t="shared" si="4"/>
      </x:c>
      <x:c r="P90" s="5" t="str">
        <x:f t="shared" si="5"/>
      </x:c>
      <x:c r="Q90" s="5"/>
      <x:c r="R90" s="5"/>
      <x:c r="S90" s="5"/>
      <x:c r="T90" s="5"/>
      <x:c r="U90" s="5"/>
      <x:c r="V90" s="5"/>
      <x:c r="W90" s="6"/>
      <x:c r="X90" s="6"/>
      <x:c r="Y90" s="5"/>
      <x:c r="Z90" s="5"/>
      <x:c r="AA90" s="5"/>
      <x:c r="AB90" s="6"/>
      <x:c r="AC90" s="5"/>
    </x:row>
    <x:row r="91">
      <x:c r="A91" s="5"/>
      <x:c r="B91" s="6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 t="str">
        <x:f t="shared" si="4"/>
      </x:c>
      <x:c r="P91" s="5" t="str">
        <x:f t="shared" si="5"/>
      </x:c>
      <x:c r="Q91" s="5"/>
      <x:c r="R91" s="5"/>
      <x:c r="S91" s="5"/>
      <x:c r="T91" s="5"/>
      <x:c r="U91" s="5"/>
      <x:c r="V91" s="5"/>
      <x:c r="W91" s="6"/>
      <x:c r="X91" s="6"/>
      <x:c r="Y91" s="5"/>
      <x:c r="Z91" s="5"/>
      <x:c r="AA91" s="5"/>
      <x:c r="AB91" s="6"/>
      <x:c r="AC91" s="5"/>
    </x:row>
    <x:row r="92">
      <x:c r="A92" s="5"/>
      <x:c r="B92" s="6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 t="str">
        <x:f t="shared" si="4"/>
      </x:c>
      <x:c r="P92" s="5" t="str">
        <x:f t="shared" si="5"/>
      </x:c>
      <x:c r="Q92" s="5"/>
      <x:c r="R92" s="5"/>
      <x:c r="S92" s="5"/>
      <x:c r="T92" s="5"/>
      <x:c r="U92" s="5"/>
      <x:c r="V92" s="5"/>
      <x:c r="W92" s="6"/>
      <x:c r="X92" s="6"/>
      <x:c r="Y92" s="5"/>
      <x:c r="Z92" s="5"/>
      <x:c r="AA92" s="5"/>
      <x:c r="AB92" s="6"/>
      <x:c r="AC92" s="5"/>
    </x:row>
    <x:row r="93">
      <x:c r="A93" s="5"/>
      <x:c r="B93" s="6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 t="str">
        <x:f t="shared" si="4"/>
      </x:c>
      <x:c r="P93" s="5" t="str">
        <x:f t="shared" si="5"/>
      </x:c>
      <x:c r="Q93" s="5"/>
      <x:c r="R93" s="5"/>
      <x:c r="S93" s="5"/>
      <x:c r="T93" s="5"/>
      <x:c r="U93" s="5"/>
      <x:c r="V93" s="5"/>
      <x:c r="W93" s="6"/>
      <x:c r="X93" s="6"/>
      <x:c r="Y93" s="5"/>
      <x:c r="Z93" s="5"/>
      <x:c r="AA93" s="5"/>
      <x:c r="AB93" s="6"/>
      <x:c r="AC93" s="5"/>
    </x:row>
    <x:row r="94">
      <x:c r="A94" s="5"/>
      <x:c r="B94" s="6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 t="str">
        <x:f t="shared" si="4"/>
      </x:c>
      <x:c r="P94" s="5" t="str">
        <x:f t="shared" si="5"/>
      </x:c>
      <x:c r="Q94" s="5"/>
      <x:c r="R94" s="5"/>
      <x:c r="S94" s="5"/>
      <x:c r="T94" s="5"/>
      <x:c r="U94" s="5"/>
      <x:c r="V94" s="5"/>
      <x:c r="W94" s="6"/>
      <x:c r="X94" s="6"/>
      <x:c r="Y94" s="5"/>
      <x:c r="Z94" s="5"/>
      <x:c r="AA94" s="5"/>
      <x:c r="AB94" s="6"/>
      <x:c r="AC94" s="5"/>
    </x:row>
    <x:row r="95">
      <x:c r="A95" s="5"/>
      <x:c r="B95" s="6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 t="str">
        <x:f t="shared" si="4"/>
      </x:c>
      <x:c r="P95" s="5" t="str">
        <x:f t="shared" si="5"/>
      </x:c>
      <x:c r="Q95" s="5"/>
      <x:c r="R95" s="5"/>
      <x:c r="S95" s="5"/>
      <x:c r="T95" s="5"/>
      <x:c r="U95" s="5"/>
      <x:c r="V95" s="5"/>
      <x:c r="W95" s="6"/>
      <x:c r="X95" s="6"/>
      <x:c r="Y95" s="5"/>
      <x:c r="Z95" s="5"/>
      <x:c r="AA95" s="5"/>
      <x:c r="AB95" s="6"/>
      <x:c r="AC95" s="5"/>
    </x:row>
    <x:row r="96">
      <x:c r="A96" s="5"/>
      <x:c r="B96" s="6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 t="str">
        <x:f t="shared" si="4"/>
      </x:c>
      <x:c r="P96" s="5" t="str">
        <x:f t="shared" si="5"/>
      </x:c>
      <x:c r="Q96" s="5"/>
      <x:c r="R96" s="5"/>
      <x:c r="S96" s="5"/>
      <x:c r="T96" s="5"/>
      <x:c r="U96" s="5"/>
      <x:c r="V96" s="5"/>
      <x:c r="W96" s="6"/>
      <x:c r="X96" s="6"/>
      <x:c r="Y96" s="5"/>
      <x:c r="Z96" s="5"/>
      <x:c r="AA96" s="5"/>
      <x:c r="AB96" s="6"/>
      <x:c r="AC96" s="5"/>
    </x:row>
    <x:row r="97">
      <x:c r="A97" s="5"/>
      <x:c r="B97" s="6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 t="str">
        <x:f t="shared" si="4"/>
      </x:c>
      <x:c r="P97" s="5" t="str">
        <x:f t="shared" si="5"/>
      </x:c>
      <x:c r="Q97" s="5"/>
      <x:c r="R97" s="5"/>
      <x:c r="S97" s="5"/>
      <x:c r="T97" s="5"/>
      <x:c r="U97" s="5"/>
      <x:c r="V97" s="5"/>
      <x:c r="W97" s="6"/>
      <x:c r="X97" s="6"/>
      <x:c r="Y97" s="5"/>
      <x:c r="Z97" s="5"/>
      <x:c r="AA97" s="5"/>
      <x:c r="AB97" s="6"/>
      <x:c r="AC97" s="5"/>
    </x:row>
    <x:row r="98">
      <x:c r="A98" s="5"/>
      <x:c r="B98" s="6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 t="str">
        <x:f t="shared" si="4"/>
      </x:c>
      <x:c r="P98" s="5" t="str">
        <x:f t="shared" si="5"/>
      </x:c>
      <x:c r="Q98" s="5"/>
      <x:c r="R98" s="5"/>
      <x:c r="S98" s="5"/>
      <x:c r="T98" s="5"/>
      <x:c r="U98" s="5"/>
      <x:c r="V98" s="5"/>
      <x:c r="W98" s="6"/>
      <x:c r="X98" s="6"/>
      <x:c r="Y98" s="5"/>
      <x:c r="Z98" s="5"/>
      <x:c r="AA98" s="5"/>
      <x:c r="AB98" s="6"/>
      <x:c r="AC98" s="5"/>
    </x:row>
    <x:row r="99">
      <x:c r="A99" s="5"/>
      <x:c r="B99" s="6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 t="str">
        <x:f t="shared" si="4"/>
      </x:c>
      <x:c r="P99" s="5" t="str">
        <x:f t="shared" si="5"/>
      </x:c>
      <x:c r="Q99" s="5"/>
      <x:c r="R99" s="5"/>
      <x:c r="S99" s="5"/>
      <x:c r="T99" s="5"/>
      <x:c r="U99" s="5"/>
      <x:c r="V99" s="5"/>
      <x:c r="W99" s="6"/>
      <x:c r="X99" s="6"/>
      <x:c r="Y99" s="5"/>
      <x:c r="Z99" s="5"/>
      <x:c r="AA99" s="5"/>
      <x:c r="AB99" s="6"/>
      <x:c r="AC99" s="5"/>
    </x:row>
    <x:row r="100">
      <x:c r="A100" s="5"/>
      <x:c r="B100" s="6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 t="str">
        <x:f t="shared" si="4"/>
      </x:c>
      <x:c r="P100" s="5" t="str">
        <x:f t="shared" si="5"/>
      </x:c>
      <x:c r="Q100" s="5"/>
      <x:c r="R100" s="5"/>
      <x:c r="S100" s="5"/>
      <x:c r="T100" s="5"/>
      <x:c r="U100" s="5"/>
      <x:c r="V100" s="5"/>
      <x:c r="W100" s="6"/>
      <x:c r="X100" s="6"/>
      <x:c r="Y100" s="5"/>
      <x:c r="Z100" s="5"/>
      <x:c r="AA100" s="5"/>
      <x:c r="AB100" s="6"/>
      <x:c r="AC100" s="5"/>
    </x:row>
    <x:row r="101">
      <x:c r="A101" s="5"/>
      <x:c r="B101" s="6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 t="str">
        <x:f t="shared" si="4"/>
      </x:c>
      <x:c r="P101" s="5" t="str">
        <x:f t="shared" si="5"/>
      </x:c>
      <x:c r="Q101" s="5"/>
      <x:c r="R101" s="5"/>
      <x:c r="S101" s="5"/>
      <x:c r="T101" s="5"/>
      <x:c r="U101" s="5"/>
      <x:c r="V101" s="5"/>
      <x:c r="W101" s="6"/>
      <x:c r="X101" s="6"/>
      <x:c r="Y101" s="5"/>
      <x:c r="Z101" s="5"/>
      <x:c r="AA101" s="5"/>
      <x:c r="AB101" s="6"/>
      <x:c r="AC101" s="5"/>
    </x:row>
    <x:row r="102">
      <x:c r="A102" s="5"/>
      <x:c r="B102" s="6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 t="str">
        <x:f t="shared" si="4"/>
      </x:c>
      <x:c r="P102" s="5" t="str">
        <x:f t="shared" si="5"/>
      </x:c>
      <x:c r="Q102" s="5"/>
      <x:c r="R102" s="5"/>
      <x:c r="S102" s="5"/>
      <x:c r="T102" s="5"/>
      <x:c r="U102" s="5"/>
      <x:c r="V102" s="5"/>
      <x:c r="W102" s="6"/>
      <x:c r="X102" s="6"/>
      <x:c r="Y102" s="5"/>
      <x:c r="Z102" s="5"/>
      <x:c r="AA102" s="5"/>
      <x:c r="AB102" s="6"/>
      <x:c r="AC102" s="5"/>
    </x:row>
    <x:row r="103">
      <x:c r="A103" s="5"/>
      <x:c r="B103" s="6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 t="str">
        <x:f t="shared" si="4"/>
      </x:c>
      <x:c r="P103" s="5" t="str">
        <x:f t="shared" si="5"/>
      </x:c>
      <x:c r="Q103" s="5"/>
      <x:c r="R103" s="5"/>
      <x:c r="S103" s="5"/>
      <x:c r="T103" s="5"/>
      <x:c r="U103" s="5"/>
      <x:c r="V103" s="5"/>
      <x:c r="W103" s="6"/>
      <x:c r="X103" s="6"/>
      <x:c r="Y103" s="5"/>
      <x:c r="Z103" s="5"/>
      <x:c r="AA103" s="5"/>
      <x:c r="AB103" s="6"/>
      <x:c r="AC103" s="5"/>
    </x:row>
    <x:row r="104">
      <x:c r="A104" s="5"/>
      <x:c r="B104" s="6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 t="str">
        <x:f t="shared" si="4"/>
      </x:c>
      <x:c r="P104" s="5" t="str">
        <x:f t="shared" si="5"/>
      </x:c>
      <x:c r="Q104" s="5"/>
      <x:c r="R104" s="5"/>
      <x:c r="S104" s="5"/>
      <x:c r="T104" s="5"/>
      <x:c r="U104" s="5"/>
      <x:c r="V104" s="5"/>
      <x:c r="W104" s="6"/>
      <x:c r="X104" s="6"/>
      <x:c r="Y104" s="5"/>
      <x:c r="Z104" s="5"/>
      <x:c r="AA104" s="5"/>
      <x:c r="AB104" s="6"/>
      <x:c r="AC104" s="5"/>
    </x:row>
    <x:row r="105">
      <x:c r="A105" s="5"/>
      <x:c r="B105" s="6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 t="str">
        <x:f t="shared" si="4"/>
      </x:c>
      <x:c r="P105" s="5" t="str">
        <x:f t="shared" si="5"/>
      </x:c>
      <x:c r="Q105" s="5"/>
      <x:c r="R105" s="5"/>
      <x:c r="S105" s="5"/>
      <x:c r="T105" s="5"/>
      <x:c r="U105" s="5"/>
      <x:c r="V105" s="5"/>
      <x:c r="W105" s="6"/>
      <x:c r="X105" s="6"/>
      <x:c r="Y105" s="5"/>
      <x:c r="Z105" s="5"/>
      <x:c r="AA105" s="5"/>
      <x:c r="AB105" s="6"/>
      <x:c r="AC105" s="5"/>
    </x:row>
    <x:row r="106">
      <x:c r="A106" s="5"/>
      <x:c r="B106" s="6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 t="str">
        <x:f t="shared" si="4"/>
      </x:c>
      <x:c r="P106" s="5" t="str">
        <x:f t="shared" si="5"/>
      </x:c>
      <x:c r="Q106" s="5"/>
      <x:c r="R106" s="5"/>
      <x:c r="S106" s="5"/>
      <x:c r="T106" s="5"/>
      <x:c r="U106" s="5"/>
      <x:c r="V106" s="5"/>
      <x:c r="W106" s="6"/>
      <x:c r="X106" s="6"/>
      <x:c r="Y106" s="5"/>
      <x:c r="Z106" s="5"/>
      <x:c r="AA106" s="5"/>
      <x:c r="AB106" s="6"/>
      <x:c r="AC106" s="5"/>
    </x:row>
    <x:row r="107">
      <x:c r="A107" s="5"/>
      <x:c r="B107" s="6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 t="str">
        <x:f t="shared" si="4"/>
      </x:c>
      <x:c r="P107" s="5" t="str">
        <x:f t="shared" si="5"/>
      </x:c>
      <x:c r="Q107" s="5"/>
      <x:c r="R107" s="5"/>
      <x:c r="S107" s="5"/>
      <x:c r="T107" s="5"/>
      <x:c r="U107" s="5"/>
      <x:c r="V107" s="5"/>
      <x:c r="W107" s="6"/>
      <x:c r="X107" s="6"/>
      <x:c r="Y107" s="5"/>
      <x:c r="Z107" s="5"/>
      <x:c r="AA107" s="5"/>
      <x:c r="AB107" s="6"/>
      <x:c r="AC107" s="5"/>
    </x:row>
    <x:row r="108">
      <x:c r="A108" s="5"/>
      <x:c r="B108" s="6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 t="str">
        <x:f t="shared" si="4"/>
      </x:c>
      <x:c r="P108" s="5" t="str">
        <x:f t="shared" si="5"/>
      </x:c>
      <x:c r="Q108" s="5"/>
      <x:c r="R108" s="5"/>
      <x:c r="S108" s="5"/>
      <x:c r="T108" s="5"/>
      <x:c r="U108" s="5"/>
      <x:c r="V108" s="5"/>
      <x:c r="W108" s="6"/>
      <x:c r="X108" s="6"/>
      <x:c r="Y108" s="5"/>
      <x:c r="Z108" s="5"/>
      <x:c r="AA108" s="5"/>
      <x:c r="AB108" s="6"/>
      <x:c r="AC108" s="5"/>
    </x:row>
    <x:row r="109">
      <x:c r="A109" s="5"/>
      <x:c r="B109" s="6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 t="str">
        <x:f t="shared" si="4"/>
      </x:c>
      <x:c r="P109" s="5" t="str">
        <x:f t="shared" si="5"/>
      </x:c>
      <x:c r="Q109" s="5"/>
      <x:c r="R109" s="5"/>
      <x:c r="S109" s="5"/>
      <x:c r="T109" s="5"/>
      <x:c r="U109" s="5"/>
      <x:c r="V109" s="5"/>
      <x:c r="W109" s="6"/>
      <x:c r="X109" s="6"/>
      <x:c r="Y109" s="5"/>
      <x:c r="Z109" s="5"/>
      <x:c r="AA109" s="5"/>
      <x:c r="AB109" s="6"/>
      <x:c r="AC109" s="5"/>
    </x:row>
    <x:row r="110">
      <x:c r="A110" s="5"/>
      <x:c r="B110" s="6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 t="str">
        <x:f t="shared" si="4"/>
      </x:c>
      <x:c r="P110" s="5" t="str">
        <x:f t="shared" si="5"/>
      </x:c>
      <x:c r="Q110" s="5"/>
      <x:c r="R110" s="5"/>
      <x:c r="S110" s="5"/>
      <x:c r="T110" s="5"/>
      <x:c r="U110" s="5"/>
      <x:c r="V110" s="5"/>
      <x:c r="W110" s="6"/>
      <x:c r="X110" s="6"/>
      <x:c r="Y110" s="5"/>
      <x:c r="Z110" s="5"/>
      <x:c r="AA110" s="5"/>
      <x:c r="AB110" s="6"/>
      <x:c r="AC110" s="5"/>
    </x:row>
    <x:row r="111">
      <x:c r="A111" s="5"/>
      <x:c r="B111" s="6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 t="str">
        <x:f t="shared" ref="O111:O142" si="6">IF(OR(M111="",N111=""),"",M111*N111)</x:f>
      </x:c>
      <x:c r="P111" s="5" t="str">
        <x:f t="shared" ref="P111:P142" si="7">IF(O111="","",IF(O111&lt;=4,"Bajo",IF(O111&lt;=9,"Medio",IF(O111&lt;=16,"Alto","Crítico"))))</x:f>
      </x:c>
      <x:c r="Q111" s="5"/>
      <x:c r="R111" s="5"/>
      <x:c r="S111" s="5"/>
      <x:c r="T111" s="5"/>
      <x:c r="U111" s="5"/>
      <x:c r="V111" s="5"/>
      <x:c r="W111" s="6"/>
      <x:c r="X111" s="6"/>
      <x:c r="Y111" s="5"/>
      <x:c r="Z111" s="5"/>
      <x:c r="AA111" s="5"/>
      <x:c r="AB111" s="6"/>
      <x:c r="AC111" s="5"/>
    </x:row>
    <x:row r="112">
      <x:c r="A112" s="5"/>
      <x:c r="B112" s="6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 t="str">
        <x:f t="shared" si="6"/>
      </x:c>
      <x:c r="P112" s="5" t="str">
        <x:f t="shared" si="7"/>
      </x:c>
      <x:c r="Q112" s="5"/>
      <x:c r="R112" s="5"/>
      <x:c r="S112" s="5"/>
      <x:c r="T112" s="5"/>
      <x:c r="U112" s="5"/>
      <x:c r="V112" s="5"/>
      <x:c r="W112" s="6"/>
      <x:c r="X112" s="6"/>
      <x:c r="Y112" s="5"/>
      <x:c r="Z112" s="5"/>
      <x:c r="AA112" s="5"/>
      <x:c r="AB112" s="6"/>
      <x:c r="AC112" s="5"/>
    </x:row>
    <x:row r="113">
      <x:c r="A113" s="5"/>
      <x:c r="B113" s="6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 t="str">
        <x:f t="shared" si="6"/>
      </x:c>
      <x:c r="P113" s="5" t="str">
        <x:f t="shared" si="7"/>
      </x:c>
      <x:c r="Q113" s="5"/>
      <x:c r="R113" s="5"/>
      <x:c r="S113" s="5"/>
      <x:c r="T113" s="5"/>
      <x:c r="U113" s="5"/>
      <x:c r="V113" s="5"/>
      <x:c r="W113" s="6"/>
      <x:c r="X113" s="6"/>
      <x:c r="Y113" s="5"/>
      <x:c r="Z113" s="5"/>
      <x:c r="AA113" s="5"/>
      <x:c r="AB113" s="6"/>
      <x:c r="AC113" s="5"/>
    </x:row>
    <x:row r="114">
      <x:c r="A114" s="5"/>
      <x:c r="B114" s="6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 t="str">
        <x:f t="shared" si="6"/>
      </x:c>
      <x:c r="P114" s="5" t="str">
        <x:f t="shared" si="7"/>
      </x:c>
      <x:c r="Q114" s="5"/>
      <x:c r="R114" s="5"/>
      <x:c r="S114" s="5"/>
      <x:c r="T114" s="5"/>
      <x:c r="U114" s="5"/>
      <x:c r="V114" s="5"/>
      <x:c r="W114" s="6"/>
      <x:c r="X114" s="6"/>
      <x:c r="Y114" s="5"/>
      <x:c r="Z114" s="5"/>
      <x:c r="AA114" s="5"/>
      <x:c r="AB114" s="6"/>
      <x:c r="AC114" s="5"/>
    </x:row>
    <x:row r="115">
      <x:c r="A115" s="5"/>
      <x:c r="B115" s="6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 t="str">
        <x:f t="shared" si="6"/>
      </x:c>
      <x:c r="P115" s="5" t="str">
        <x:f t="shared" si="7"/>
      </x:c>
      <x:c r="Q115" s="5"/>
      <x:c r="R115" s="5"/>
      <x:c r="S115" s="5"/>
      <x:c r="T115" s="5"/>
      <x:c r="U115" s="5"/>
      <x:c r="V115" s="5"/>
      <x:c r="W115" s="6"/>
      <x:c r="X115" s="6"/>
      <x:c r="Y115" s="5"/>
      <x:c r="Z115" s="5"/>
      <x:c r="AA115" s="5"/>
      <x:c r="AB115" s="6"/>
      <x:c r="AC115" s="5"/>
    </x:row>
    <x:row r="116">
      <x:c r="A116" s="5"/>
      <x:c r="B116" s="6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 t="str">
        <x:f t="shared" si="6"/>
      </x:c>
      <x:c r="P116" s="5" t="str">
        <x:f t="shared" si="7"/>
      </x:c>
      <x:c r="Q116" s="5"/>
      <x:c r="R116" s="5"/>
      <x:c r="S116" s="5"/>
      <x:c r="T116" s="5"/>
      <x:c r="U116" s="5"/>
      <x:c r="V116" s="5"/>
      <x:c r="W116" s="6"/>
      <x:c r="X116" s="6"/>
      <x:c r="Y116" s="5"/>
      <x:c r="Z116" s="5"/>
      <x:c r="AA116" s="5"/>
      <x:c r="AB116" s="6"/>
      <x:c r="AC116" s="5"/>
    </x:row>
    <x:row r="117">
      <x:c r="A117" s="5"/>
      <x:c r="B117" s="6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 t="str">
        <x:f t="shared" si="6"/>
      </x:c>
      <x:c r="P117" s="5" t="str">
        <x:f t="shared" si="7"/>
      </x:c>
      <x:c r="Q117" s="5"/>
      <x:c r="R117" s="5"/>
      <x:c r="S117" s="5"/>
      <x:c r="T117" s="5"/>
      <x:c r="U117" s="5"/>
      <x:c r="V117" s="5"/>
      <x:c r="W117" s="6"/>
      <x:c r="X117" s="6"/>
      <x:c r="Y117" s="5"/>
      <x:c r="Z117" s="5"/>
      <x:c r="AA117" s="5"/>
      <x:c r="AB117" s="6"/>
      <x:c r="AC117" s="5"/>
    </x:row>
    <x:row r="118">
      <x:c r="A118" s="5"/>
      <x:c r="B118" s="6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 t="str">
        <x:f t="shared" si="6"/>
      </x:c>
      <x:c r="P118" s="5" t="str">
        <x:f t="shared" si="7"/>
      </x:c>
      <x:c r="Q118" s="5"/>
      <x:c r="R118" s="5"/>
      <x:c r="S118" s="5"/>
      <x:c r="T118" s="5"/>
      <x:c r="U118" s="5"/>
      <x:c r="V118" s="5"/>
      <x:c r="W118" s="6"/>
      <x:c r="X118" s="6"/>
      <x:c r="Y118" s="5"/>
      <x:c r="Z118" s="5"/>
      <x:c r="AA118" s="5"/>
      <x:c r="AB118" s="6"/>
      <x:c r="AC118" s="5"/>
    </x:row>
    <x:row r="119">
      <x:c r="A119" s="5"/>
      <x:c r="B119" s="6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 t="str">
        <x:f t="shared" si="6"/>
      </x:c>
      <x:c r="P119" s="5" t="str">
        <x:f t="shared" si="7"/>
      </x:c>
      <x:c r="Q119" s="5"/>
      <x:c r="R119" s="5"/>
      <x:c r="S119" s="5"/>
      <x:c r="T119" s="5"/>
      <x:c r="U119" s="5"/>
      <x:c r="V119" s="5"/>
      <x:c r="W119" s="6"/>
      <x:c r="X119" s="6"/>
      <x:c r="Y119" s="5"/>
      <x:c r="Z119" s="5"/>
      <x:c r="AA119" s="5"/>
      <x:c r="AB119" s="6"/>
      <x:c r="AC119" s="5"/>
    </x:row>
    <x:row r="120">
      <x:c r="A120" s="5"/>
      <x:c r="B120" s="6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 t="str">
        <x:f t="shared" si="6"/>
      </x:c>
      <x:c r="P120" s="5" t="str">
        <x:f t="shared" si="7"/>
      </x:c>
      <x:c r="Q120" s="5"/>
      <x:c r="R120" s="5"/>
      <x:c r="S120" s="5"/>
      <x:c r="T120" s="5"/>
      <x:c r="U120" s="5"/>
      <x:c r="V120" s="5"/>
      <x:c r="W120" s="6"/>
      <x:c r="X120" s="6"/>
      <x:c r="Y120" s="5"/>
      <x:c r="Z120" s="5"/>
      <x:c r="AA120" s="5"/>
      <x:c r="AB120" s="6"/>
      <x:c r="AC120" s="5"/>
    </x:row>
    <x:row r="121">
      <x:c r="A121" s="5"/>
      <x:c r="B121" s="6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 t="str">
        <x:f t="shared" si="6"/>
      </x:c>
      <x:c r="P121" s="5" t="str">
        <x:f t="shared" si="7"/>
      </x:c>
      <x:c r="Q121" s="5"/>
      <x:c r="R121" s="5"/>
      <x:c r="S121" s="5"/>
      <x:c r="T121" s="5"/>
      <x:c r="U121" s="5"/>
      <x:c r="V121" s="5"/>
      <x:c r="W121" s="6"/>
      <x:c r="X121" s="6"/>
      <x:c r="Y121" s="5"/>
      <x:c r="Z121" s="5"/>
      <x:c r="AA121" s="5"/>
      <x:c r="AB121" s="6"/>
      <x:c r="AC121" s="5"/>
    </x:row>
    <x:row r="122">
      <x:c r="A122" s="5"/>
      <x:c r="B122" s="6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 t="str">
        <x:f t="shared" si="6"/>
      </x:c>
      <x:c r="P122" s="5" t="str">
        <x:f t="shared" si="7"/>
      </x:c>
      <x:c r="Q122" s="5"/>
      <x:c r="R122" s="5"/>
      <x:c r="S122" s="5"/>
      <x:c r="T122" s="5"/>
      <x:c r="U122" s="5"/>
      <x:c r="V122" s="5"/>
      <x:c r="W122" s="6"/>
      <x:c r="X122" s="6"/>
      <x:c r="Y122" s="5"/>
      <x:c r="Z122" s="5"/>
      <x:c r="AA122" s="5"/>
      <x:c r="AB122" s="6"/>
      <x:c r="AC122" s="5"/>
    </x:row>
    <x:row r="123">
      <x:c r="A123" s="5"/>
      <x:c r="B123" s="6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 t="str">
        <x:f t="shared" si="6"/>
      </x:c>
      <x:c r="P123" s="5" t="str">
        <x:f t="shared" si="7"/>
      </x:c>
      <x:c r="Q123" s="5"/>
      <x:c r="R123" s="5"/>
      <x:c r="S123" s="5"/>
      <x:c r="T123" s="5"/>
      <x:c r="U123" s="5"/>
      <x:c r="V123" s="5"/>
      <x:c r="W123" s="6"/>
      <x:c r="X123" s="6"/>
      <x:c r="Y123" s="5"/>
      <x:c r="Z123" s="5"/>
      <x:c r="AA123" s="5"/>
      <x:c r="AB123" s="6"/>
      <x:c r="AC123" s="5"/>
    </x:row>
    <x:row r="124">
      <x:c r="A124" s="5"/>
      <x:c r="B124" s="6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 t="str">
        <x:f t="shared" si="6"/>
      </x:c>
      <x:c r="P124" s="5" t="str">
        <x:f t="shared" si="7"/>
      </x:c>
      <x:c r="Q124" s="5"/>
      <x:c r="R124" s="5"/>
      <x:c r="S124" s="5"/>
      <x:c r="T124" s="5"/>
      <x:c r="U124" s="5"/>
      <x:c r="V124" s="5"/>
      <x:c r="W124" s="6"/>
      <x:c r="X124" s="6"/>
      <x:c r="Y124" s="5"/>
      <x:c r="Z124" s="5"/>
      <x:c r="AA124" s="5"/>
      <x:c r="AB124" s="6"/>
      <x:c r="AC124" s="5"/>
    </x:row>
    <x:row r="125">
      <x:c r="A125" s="5"/>
      <x:c r="B125" s="6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 t="str">
        <x:f t="shared" si="6"/>
      </x:c>
      <x:c r="P125" s="5" t="str">
        <x:f t="shared" si="7"/>
      </x:c>
      <x:c r="Q125" s="5"/>
      <x:c r="R125" s="5"/>
      <x:c r="S125" s="5"/>
      <x:c r="T125" s="5"/>
      <x:c r="U125" s="5"/>
      <x:c r="V125" s="5"/>
      <x:c r="W125" s="6"/>
      <x:c r="X125" s="6"/>
      <x:c r="Y125" s="5"/>
      <x:c r="Z125" s="5"/>
      <x:c r="AA125" s="5"/>
      <x:c r="AB125" s="6"/>
      <x:c r="AC125" s="5"/>
    </x:row>
    <x:row r="126">
      <x:c r="A126" s="5"/>
      <x:c r="B126" s="6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 t="str">
        <x:f t="shared" si="6"/>
      </x:c>
      <x:c r="P126" s="5" t="str">
        <x:f t="shared" si="7"/>
      </x:c>
      <x:c r="Q126" s="5"/>
      <x:c r="R126" s="5"/>
      <x:c r="S126" s="5"/>
      <x:c r="T126" s="5"/>
      <x:c r="U126" s="5"/>
      <x:c r="V126" s="5"/>
      <x:c r="W126" s="6"/>
      <x:c r="X126" s="6"/>
      <x:c r="Y126" s="5"/>
      <x:c r="Z126" s="5"/>
      <x:c r="AA126" s="5"/>
      <x:c r="AB126" s="6"/>
      <x:c r="AC126" s="5"/>
    </x:row>
    <x:row r="127">
      <x:c r="A127" s="5"/>
      <x:c r="B127" s="6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 t="str">
        <x:f t="shared" si="6"/>
      </x:c>
      <x:c r="P127" s="5" t="str">
        <x:f t="shared" si="7"/>
      </x:c>
      <x:c r="Q127" s="5"/>
      <x:c r="R127" s="5"/>
      <x:c r="S127" s="5"/>
      <x:c r="T127" s="5"/>
      <x:c r="U127" s="5"/>
      <x:c r="V127" s="5"/>
      <x:c r="W127" s="6"/>
      <x:c r="X127" s="6"/>
      <x:c r="Y127" s="5"/>
      <x:c r="Z127" s="5"/>
      <x:c r="AA127" s="5"/>
      <x:c r="AB127" s="6"/>
      <x:c r="AC127" s="5"/>
    </x:row>
    <x:row r="128">
      <x:c r="A128" s="5"/>
      <x:c r="B128" s="6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 t="str">
        <x:f t="shared" si="6"/>
      </x:c>
      <x:c r="P128" s="5" t="str">
        <x:f t="shared" si="7"/>
      </x:c>
      <x:c r="Q128" s="5"/>
      <x:c r="R128" s="5"/>
      <x:c r="S128" s="5"/>
      <x:c r="T128" s="5"/>
      <x:c r="U128" s="5"/>
      <x:c r="V128" s="5"/>
      <x:c r="W128" s="6"/>
      <x:c r="X128" s="6"/>
      <x:c r="Y128" s="5"/>
      <x:c r="Z128" s="5"/>
      <x:c r="AA128" s="5"/>
      <x:c r="AB128" s="6"/>
      <x:c r="AC128" s="5"/>
    </x:row>
    <x:row r="129">
      <x:c r="A129" s="5"/>
      <x:c r="B129" s="6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 t="str">
        <x:f t="shared" si="6"/>
      </x:c>
      <x:c r="P129" s="5" t="str">
        <x:f t="shared" si="7"/>
      </x:c>
      <x:c r="Q129" s="5"/>
      <x:c r="R129" s="5"/>
      <x:c r="S129" s="5"/>
      <x:c r="T129" s="5"/>
      <x:c r="U129" s="5"/>
      <x:c r="V129" s="5"/>
      <x:c r="W129" s="6"/>
      <x:c r="X129" s="6"/>
      <x:c r="Y129" s="5"/>
      <x:c r="Z129" s="5"/>
      <x:c r="AA129" s="5"/>
      <x:c r="AB129" s="6"/>
      <x:c r="AC129" s="5"/>
    </x:row>
    <x:row r="130">
      <x:c r="A130" s="5"/>
      <x:c r="B130" s="6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 t="str">
        <x:f t="shared" si="6"/>
      </x:c>
      <x:c r="P130" s="5" t="str">
        <x:f t="shared" si="7"/>
      </x:c>
      <x:c r="Q130" s="5"/>
      <x:c r="R130" s="5"/>
      <x:c r="S130" s="5"/>
      <x:c r="T130" s="5"/>
      <x:c r="U130" s="5"/>
      <x:c r="V130" s="5"/>
      <x:c r="W130" s="6"/>
      <x:c r="X130" s="6"/>
      <x:c r="Y130" s="5"/>
      <x:c r="Z130" s="5"/>
      <x:c r="AA130" s="5"/>
      <x:c r="AB130" s="6"/>
      <x:c r="AC130" s="5"/>
    </x:row>
    <x:row r="131">
      <x:c r="A131" s="5"/>
      <x:c r="B131" s="6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 t="str">
        <x:f t="shared" si="6"/>
      </x:c>
      <x:c r="P131" s="5" t="str">
        <x:f t="shared" si="7"/>
      </x:c>
      <x:c r="Q131" s="5"/>
      <x:c r="R131" s="5"/>
      <x:c r="S131" s="5"/>
      <x:c r="T131" s="5"/>
      <x:c r="U131" s="5"/>
      <x:c r="V131" s="5"/>
      <x:c r="W131" s="6"/>
      <x:c r="X131" s="6"/>
      <x:c r="Y131" s="5"/>
      <x:c r="Z131" s="5"/>
      <x:c r="AA131" s="5"/>
      <x:c r="AB131" s="6"/>
      <x:c r="AC131" s="5"/>
    </x:row>
    <x:row r="132">
      <x:c r="A132" s="5"/>
      <x:c r="B132" s="6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 t="str">
        <x:f t="shared" si="6"/>
      </x:c>
      <x:c r="P132" s="5" t="str">
        <x:f t="shared" si="7"/>
      </x:c>
      <x:c r="Q132" s="5"/>
      <x:c r="R132" s="5"/>
      <x:c r="S132" s="5"/>
      <x:c r="T132" s="5"/>
      <x:c r="U132" s="5"/>
      <x:c r="V132" s="5"/>
      <x:c r="W132" s="6"/>
      <x:c r="X132" s="6"/>
      <x:c r="Y132" s="5"/>
      <x:c r="Z132" s="5"/>
      <x:c r="AA132" s="5"/>
      <x:c r="AB132" s="6"/>
      <x:c r="AC132" s="5"/>
    </x:row>
    <x:row r="133">
      <x:c r="A133" s="5"/>
      <x:c r="B133" s="6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 t="str">
        <x:f t="shared" si="6"/>
      </x:c>
      <x:c r="P133" s="5" t="str">
        <x:f t="shared" si="7"/>
      </x:c>
      <x:c r="Q133" s="5"/>
      <x:c r="R133" s="5"/>
      <x:c r="S133" s="5"/>
      <x:c r="T133" s="5"/>
      <x:c r="U133" s="5"/>
      <x:c r="V133" s="5"/>
      <x:c r="W133" s="6"/>
      <x:c r="X133" s="6"/>
      <x:c r="Y133" s="5"/>
      <x:c r="Z133" s="5"/>
      <x:c r="AA133" s="5"/>
      <x:c r="AB133" s="6"/>
      <x:c r="AC133" s="5"/>
    </x:row>
    <x:row r="134">
      <x:c r="A134" s="5"/>
      <x:c r="B134" s="6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 t="str">
        <x:f t="shared" si="6"/>
      </x:c>
      <x:c r="P134" s="5" t="str">
        <x:f t="shared" si="7"/>
      </x:c>
      <x:c r="Q134" s="5"/>
      <x:c r="R134" s="5"/>
      <x:c r="S134" s="5"/>
      <x:c r="T134" s="5"/>
      <x:c r="U134" s="5"/>
      <x:c r="V134" s="5"/>
      <x:c r="W134" s="6"/>
      <x:c r="X134" s="6"/>
      <x:c r="Y134" s="5"/>
      <x:c r="Z134" s="5"/>
      <x:c r="AA134" s="5"/>
      <x:c r="AB134" s="6"/>
      <x:c r="AC134" s="5"/>
    </x:row>
    <x:row r="135">
      <x:c r="A135" s="5"/>
      <x:c r="B135" s="6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 t="str">
        <x:f t="shared" si="6"/>
      </x:c>
      <x:c r="P135" s="5" t="str">
        <x:f t="shared" si="7"/>
      </x:c>
      <x:c r="Q135" s="5"/>
      <x:c r="R135" s="5"/>
      <x:c r="S135" s="5"/>
      <x:c r="T135" s="5"/>
      <x:c r="U135" s="5"/>
      <x:c r="V135" s="5"/>
      <x:c r="W135" s="6"/>
      <x:c r="X135" s="6"/>
      <x:c r="Y135" s="5"/>
      <x:c r="Z135" s="5"/>
      <x:c r="AA135" s="5"/>
      <x:c r="AB135" s="6"/>
      <x:c r="AC135" s="5"/>
    </x:row>
    <x:row r="136">
      <x:c r="A136" s="5"/>
      <x:c r="B136" s="6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 t="str">
        <x:f t="shared" si="6"/>
      </x:c>
      <x:c r="P136" s="5" t="str">
        <x:f t="shared" si="7"/>
      </x:c>
      <x:c r="Q136" s="5"/>
      <x:c r="R136" s="5"/>
      <x:c r="S136" s="5"/>
      <x:c r="T136" s="5"/>
      <x:c r="U136" s="5"/>
      <x:c r="V136" s="5"/>
      <x:c r="W136" s="6"/>
      <x:c r="X136" s="6"/>
      <x:c r="Y136" s="5"/>
      <x:c r="Z136" s="5"/>
      <x:c r="AA136" s="5"/>
      <x:c r="AB136" s="6"/>
      <x:c r="AC136" s="5"/>
    </x:row>
    <x:row r="137">
      <x:c r="A137" s="5"/>
      <x:c r="B137" s="6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 t="str">
        <x:f t="shared" si="6"/>
      </x:c>
      <x:c r="P137" s="5" t="str">
        <x:f t="shared" si="7"/>
      </x:c>
      <x:c r="Q137" s="5"/>
      <x:c r="R137" s="5"/>
      <x:c r="S137" s="5"/>
      <x:c r="T137" s="5"/>
      <x:c r="U137" s="5"/>
      <x:c r="V137" s="5"/>
      <x:c r="W137" s="6"/>
      <x:c r="X137" s="6"/>
      <x:c r="Y137" s="5"/>
      <x:c r="Z137" s="5"/>
      <x:c r="AA137" s="5"/>
      <x:c r="AB137" s="6"/>
      <x:c r="AC137" s="5"/>
    </x:row>
    <x:row r="138">
      <x:c r="A138" s="5"/>
      <x:c r="B138" s="6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 t="str">
        <x:f t="shared" si="6"/>
      </x:c>
      <x:c r="P138" s="5" t="str">
        <x:f t="shared" si="7"/>
      </x:c>
      <x:c r="Q138" s="5"/>
      <x:c r="R138" s="5"/>
      <x:c r="S138" s="5"/>
      <x:c r="T138" s="5"/>
      <x:c r="U138" s="5"/>
      <x:c r="V138" s="5"/>
      <x:c r="W138" s="6"/>
      <x:c r="X138" s="6"/>
      <x:c r="Y138" s="5"/>
      <x:c r="Z138" s="5"/>
      <x:c r="AA138" s="5"/>
      <x:c r="AB138" s="6"/>
      <x:c r="AC138" s="5"/>
    </x:row>
    <x:row r="139">
      <x:c r="A139" s="5"/>
      <x:c r="B139" s="6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 t="str">
        <x:f t="shared" si="6"/>
      </x:c>
      <x:c r="P139" s="5" t="str">
        <x:f t="shared" si="7"/>
      </x:c>
      <x:c r="Q139" s="5"/>
      <x:c r="R139" s="5"/>
      <x:c r="S139" s="5"/>
      <x:c r="T139" s="5"/>
      <x:c r="U139" s="5"/>
      <x:c r="V139" s="5"/>
      <x:c r="W139" s="6"/>
      <x:c r="X139" s="6"/>
      <x:c r="Y139" s="5"/>
      <x:c r="Z139" s="5"/>
      <x:c r="AA139" s="5"/>
      <x:c r="AB139" s="6"/>
      <x:c r="AC139" s="5"/>
    </x:row>
    <x:row r="140">
      <x:c r="A140" s="5"/>
      <x:c r="B140" s="6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 t="str">
        <x:f t="shared" si="6"/>
      </x:c>
      <x:c r="P140" s="5" t="str">
        <x:f t="shared" si="7"/>
      </x:c>
      <x:c r="Q140" s="5"/>
      <x:c r="R140" s="5"/>
      <x:c r="S140" s="5"/>
      <x:c r="T140" s="5"/>
      <x:c r="U140" s="5"/>
      <x:c r="V140" s="5"/>
      <x:c r="W140" s="6"/>
      <x:c r="X140" s="6"/>
      <x:c r="Y140" s="5"/>
      <x:c r="Z140" s="5"/>
      <x:c r="AA140" s="5"/>
      <x:c r="AB140" s="6"/>
      <x:c r="AC140" s="5"/>
    </x:row>
    <x:row r="141">
      <x:c r="A141" s="5"/>
      <x:c r="B141" s="6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 t="str">
        <x:f t="shared" si="6"/>
      </x:c>
      <x:c r="P141" s="5" t="str">
        <x:f t="shared" si="7"/>
      </x:c>
      <x:c r="Q141" s="5"/>
      <x:c r="R141" s="5"/>
      <x:c r="S141" s="5"/>
      <x:c r="T141" s="5"/>
      <x:c r="U141" s="5"/>
      <x:c r="V141" s="5"/>
      <x:c r="W141" s="6"/>
      <x:c r="X141" s="6"/>
      <x:c r="Y141" s="5"/>
      <x:c r="Z141" s="5"/>
      <x:c r="AA141" s="5"/>
      <x:c r="AB141" s="6"/>
      <x:c r="AC141" s="5"/>
    </x:row>
    <x:row r="142">
      <x:c r="A142" s="5"/>
      <x:c r="B142" s="6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 t="str">
        <x:f t="shared" si="6"/>
      </x:c>
      <x:c r="P142" s="5" t="str">
        <x:f t="shared" si="7"/>
      </x:c>
      <x:c r="Q142" s="5"/>
      <x:c r="R142" s="5"/>
      <x:c r="S142" s="5"/>
      <x:c r="T142" s="5"/>
      <x:c r="U142" s="5"/>
      <x:c r="V142" s="5"/>
      <x:c r="W142" s="6"/>
      <x:c r="X142" s="6"/>
      <x:c r="Y142" s="5"/>
      <x:c r="Z142" s="5"/>
      <x:c r="AA142" s="5"/>
      <x:c r="AB142" s="6"/>
      <x:c r="AC142" s="5"/>
    </x:row>
    <x:row r="143">
      <x:c r="A143" s="5"/>
      <x:c r="B143" s="6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 t="str">
        <x:f t="shared" ref="O143:O174" si="8">IF(OR(M143="",N143=""),"",M143*N143)</x:f>
      </x:c>
      <x:c r="P143" s="5" t="str">
        <x:f t="shared" ref="P143:P174" si="9">IF(O143="","",IF(O143&lt;=4,"Bajo",IF(O143&lt;=9,"Medio",IF(O143&lt;=16,"Alto","Crítico"))))</x:f>
      </x:c>
      <x:c r="Q143" s="5"/>
      <x:c r="R143" s="5"/>
      <x:c r="S143" s="5"/>
      <x:c r="T143" s="5"/>
      <x:c r="U143" s="5"/>
      <x:c r="V143" s="5"/>
      <x:c r="W143" s="6"/>
      <x:c r="X143" s="6"/>
      <x:c r="Y143" s="5"/>
      <x:c r="Z143" s="5"/>
      <x:c r="AA143" s="5"/>
      <x:c r="AB143" s="6"/>
      <x:c r="AC143" s="5"/>
    </x:row>
    <x:row r="144">
      <x:c r="A144" s="5"/>
      <x:c r="B144" s="6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 t="str">
        <x:f t="shared" si="8"/>
      </x:c>
      <x:c r="P144" s="5" t="str">
        <x:f t="shared" si="9"/>
      </x:c>
      <x:c r="Q144" s="5"/>
      <x:c r="R144" s="5"/>
      <x:c r="S144" s="5"/>
      <x:c r="T144" s="5"/>
      <x:c r="U144" s="5"/>
      <x:c r="V144" s="5"/>
      <x:c r="W144" s="6"/>
      <x:c r="X144" s="6"/>
      <x:c r="Y144" s="5"/>
      <x:c r="Z144" s="5"/>
      <x:c r="AA144" s="5"/>
      <x:c r="AB144" s="6"/>
      <x:c r="AC144" s="5"/>
    </x:row>
    <x:row r="145">
      <x:c r="A145" s="5"/>
      <x:c r="B145" s="6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 t="str">
        <x:f t="shared" si="8"/>
      </x:c>
      <x:c r="P145" s="5" t="str">
        <x:f t="shared" si="9"/>
      </x:c>
      <x:c r="Q145" s="5"/>
      <x:c r="R145" s="5"/>
      <x:c r="S145" s="5"/>
      <x:c r="T145" s="5"/>
      <x:c r="U145" s="5"/>
      <x:c r="V145" s="5"/>
      <x:c r="W145" s="6"/>
      <x:c r="X145" s="6"/>
      <x:c r="Y145" s="5"/>
      <x:c r="Z145" s="5"/>
      <x:c r="AA145" s="5"/>
      <x:c r="AB145" s="6"/>
      <x:c r="AC145" s="5"/>
    </x:row>
    <x:row r="146">
      <x:c r="A146" s="5"/>
      <x:c r="B146" s="6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 t="str">
        <x:f t="shared" si="8"/>
      </x:c>
      <x:c r="P146" s="5" t="str">
        <x:f t="shared" si="9"/>
      </x:c>
      <x:c r="Q146" s="5"/>
      <x:c r="R146" s="5"/>
      <x:c r="S146" s="5"/>
      <x:c r="T146" s="5"/>
      <x:c r="U146" s="5"/>
      <x:c r="V146" s="5"/>
      <x:c r="W146" s="6"/>
      <x:c r="X146" s="6"/>
      <x:c r="Y146" s="5"/>
      <x:c r="Z146" s="5"/>
      <x:c r="AA146" s="5"/>
      <x:c r="AB146" s="6"/>
      <x:c r="AC146" s="5"/>
    </x:row>
    <x:row r="147">
      <x:c r="A147" s="5"/>
      <x:c r="B147" s="6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 t="str">
        <x:f t="shared" si="8"/>
      </x:c>
      <x:c r="P147" s="5" t="str">
        <x:f t="shared" si="9"/>
      </x:c>
      <x:c r="Q147" s="5"/>
      <x:c r="R147" s="5"/>
      <x:c r="S147" s="5"/>
      <x:c r="T147" s="5"/>
      <x:c r="U147" s="5"/>
      <x:c r="V147" s="5"/>
      <x:c r="W147" s="6"/>
      <x:c r="X147" s="6"/>
      <x:c r="Y147" s="5"/>
      <x:c r="Z147" s="5"/>
      <x:c r="AA147" s="5"/>
      <x:c r="AB147" s="6"/>
      <x:c r="AC147" s="5"/>
    </x:row>
    <x:row r="148">
      <x:c r="A148" s="5"/>
      <x:c r="B148" s="6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 t="str">
        <x:f t="shared" si="8"/>
      </x:c>
      <x:c r="P148" s="5" t="str">
        <x:f t="shared" si="9"/>
      </x:c>
      <x:c r="Q148" s="5"/>
      <x:c r="R148" s="5"/>
      <x:c r="S148" s="5"/>
      <x:c r="T148" s="5"/>
      <x:c r="U148" s="5"/>
      <x:c r="V148" s="5"/>
      <x:c r="W148" s="6"/>
      <x:c r="X148" s="6"/>
      <x:c r="Y148" s="5"/>
      <x:c r="Z148" s="5"/>
      <x:c r="AA148" s="5"/>
      <x:c r="AB148" s="6"/>
      <x:c r="AC148" s="5"/>
    </x:row>
    <x:row r="149">
      <x:c r="A149" s="5"/>
      <x:c r="B149" s="6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 t="str">
        <x:f t="shared" si="8"/>
      </x:c>
      <x:c r="P149" s="5" t="str">
        <x:f t="shared" si="9"/>
      </x:c>
      <x:c r="Q149" s="5"/>
      <x:c r="R149" s="5"/>
      <x:c r="S149" s="5"/>
      <x:c r="T149" s="5"/>
      <x:c r="U149" s="5"/>
      <x:c r="V149" s="5"/>
      <x:c r="W149" s="6"/>
      <x:c r="X149" s="6"/>
      <x:c r="Y149" s="5"/>
      <x:c r="Z149" s="5"/>
      <x:c r="AA149" s="5"/>
      <x:c r="AB149" s="6"/>
      <x:c r="AC149" s="5"/>
    </x:row>
    <x:row r="150">
      <x:c r="A150" s="5"/>
      <x:c r="B150" s="6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 t="str">
        <x:f t="shared" si="8"/>
      </x:c>
      <x:c r="P150" s="5" t="str">
        <x:f t="shared" si="9"/>
      </x:c>
      <x:c r="Q150" s="5"/>
      <x:c r="R150" s="5"/>
      <x:c r="S150" s="5"/>
      <x:c r="T150" s="5"/>
      <x:c r="U150" s="5"/>
      <x:c r="V150" s="5"/>
      <x:c r="W150" s="6"/>
      <x:c r="X150" s="6"/>
      <x:c r="Y150" s="5"/>
      <x:c r="Z150" s="5"/>
      <x:c r="AA150" s="5"/>
      <x:c r="AB150" s="6"/>
      <x:c r="AC150" s="5"/>
    </x:row>
    <x:row r="151">
      <x:c r="A151" s="5"/>
      <x:c r="B151" s="6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 t="str">
        <x:f t="shared" si="8"/>
      </x:c>
      <x:c r="P151" s="5" t="str">
        <x:f t="shared" si="9"/>
      </x:c>
      <x:c r="Q151" s="5"/>
      <x:c r="R151" s="5"/>
      <x:c r="S151" s="5"/>
      <x:c r="T151" s="5"/>
      <x:c r="U151" s="5"/>
      <x:c r="V151" s="5"/>
      <x:c r="W151" s="6"/>
      <x:c r="X151" s="6"/>
      <x:c r="Y151" s="5"/>
      <x:c r="Z151" s="5"/>
      <x:c r="AA151" s="5"/>
      <x:c r="AB151" s="6"/>
      <x:c r="AC151" s="5"/>
    </x:row>
    <x:row r="152">
      <x:c r="A152" s="5"/>
      <x:c r="B152" s="6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 t="str">
        <x:f t="shared" si="8"/>
      </x:c>
      <x:c r="P152" s="5" t="str">
        <x:f t="shared" si="9"/>
      </x:c>
      <x:c r="Q152" s="5"/>
      <x:c r="R152" s="5"/>
      <x:c r="S152" s="5"/>
      <x:c r="T152" s="5"/>
      <x:c r="U152" s="5"/>
      <x:c r="V152" s="5"/>
      <x:c r="W152" s="6"/>
      <x:c r="X152" s="6"/>
      <x:c r="Y152" s="5"/>
      <x:c r="Z152" s="5"/>
      <x:c r="AA152" s="5"/>
      <x:c r="AB152" s="6"/>
      <x:c r="AC152" s="5"/>
    </x:row>
    <x:row r="153">
      <x:c r="A153" s="5"/>
      <x:c r="B153" s="6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 t="str">
        <x:f t="shared" si="8"/>
      </x:c>
      <x:c r="P153" s="5" t="str">
        <x:f t="shared" si="9"/>
      </x:c>
      <x:c r="Q153" s="5"/>
      <x:c r="R153" s="5"/>
      <x:c r="S153" s="5"/>
      <x:c r="T153" s="5"/>
      <x:c r="U153" s="5"/>
      <x:c r="V153" s="5"/>
      <x:c r="W153" s="6"/>
      <x:c r="X153" s="6"/>
      <x:c r="Y153" s="5"/>
      <x:c r="Z153" s="5"/>
      <x:c r="AA153" s="5"/>
      <x:c r="AB153" s="6"/>
      <x:c r="AC153" s="5"/>
    </x:row>
    <x:row r="154">
      <x:c r="A154" s="5"/>
      <x:c r="B154" s="6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 t="str">
        <x:f t="shared" si="8"/>
      </x:c>
      <x:c r="P154" s="5" t="str">
        <x:f t="shared" si="9"/>
      </x:c>
      <x:c r="Q154" s="5"/>
      <x:c r="R154" s="5"/>
      <x:c r="S154" s="5"/>
      <x:c r="T154" s="5"/>
      <x:c r="U154" s="5"/>
      <x:c r="V154" s="5"/>
      <x:c r="W154" s="6"/>
      <x:c r="X154" s="6"/>
      <x:c r="Y154" s="5"/>
      <x:c r="Z154" s="5"/>
      <x:c r="AA154" s="5"/>
      <x:c r="AB154" s="6"/>
      <x:c r="AC154" s="5"/>
    </x:row>
    <x:row r="155">
      <x:c r="A155" s="5"/>
      <x:c r="B155" s="6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 t="str">
        <x:f t="shared" si="8"/>
      </x:c>
      <x:c r="P155" s="5" t="str">
        <x:f t="shared" si="9"/>
      </x:c>
      <x:c r="Q155" s="5"/>
      <x:c r="R155" s="5"/>
      <x:c r="S155" s="5"/>
      <x:c r="T155" s="5"/>
      <x:c r="U155" s="5"/>
      <x:c r="V155" s="5"/>
      <x:c r="W155" s="6"/>
      <x:c r="X155" s="6"/>
      <x:c r="Y155" s="5"/>
      <x:c r="Z155" s="5"/>
      <x:c r="AA155" s="5"/>
      <x:c r="AB155" s="6"/>
      <x:c r="AC155" s="5"/>
    </x:row>
    <x:row r="156">
      <x:c r="A156" s="5"/>
      <x:c r="B156" s="6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 t="str">
        <x:f t="shared" si="8"/>
      </x:c>
      <x:c r="P156" s="5" t="str">
        <x:f t="shared" si="9"/>
      </x:c>
      <x:c r="Q156" s="5"/>
      <x:c r="R156" s="5"/>
      <x:c r="S156" s="5"/>
      <x:c r="T156" s="5"/>
      <x:c r="U156" s="5"/>
      <x:c r="V156" s="5"/>
      <x:c r="W156" s="6"/>
      <x:c r="X156" s="6"/>
      <x:c r="Y156" s="5"/>
      <x:c r="Z156" s="5"/>
      <x:c r="AA156" s="5"/>
      <x:c r="AB156" s="6"/>
      <x:c r="AC156" s="5"/>
    </x:row>
    <x:row r="157">
      <x:c r="A157" s="5"/>
      <x:c r="B157" s="6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 t="str">
        <x:f t="shared" si="8"/>
      </x:c>
      <x:c r="P157" s="5" t="str">
        <x:f t="shared" si="9"/>
      </x:c>
      <x:c r="Q157" s="5"/>
      <x:c r="R157" s="5"/>
      <x:c r="S157" s="5"/>
      <x:c r="T157" s="5"/>
      <x:c r="U157" s="5"/>
      <x:c r="V157" s="5"/>
      <x:c r="W157" s="6"/>
      <x:c r="X157" s="6"/>
      <x:c r="Y157" s="5"/>
      <x:c r="Z157" s="5"/>
      <x:c r="AA157" s="5"/>
      <x:c r="AB157" s="6"/>
      <x:c r="AC157" s="5"/>
    </x:row>
    <x:row r="158">
      <x:c r="A158" s="5"/>
      <x:c r="B158" s="6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 t="str">
        <x:f t="shared" si="8"/>
      </x:c>
      <x:c r="P158" s="5" t="str">
        <x:f t="shared" si="9"/>
      </x:c>
      <x:c r="Q158" s="5"/>
      <x:c r="R158" s="5"/>
      <x:c r="S158" s="5"/>
      <x:c r="T158" s="5"/>
      <x:c r="U158" s="5"/>
      <x:c r="V158" s="5"/>
      <x:c r="W158" s="6"/>
      <x:c r="X158" s="6"/>
      <x:c r="Y158" s="5"/>
      <x:c r="Z158" s="5"/>
      <x:c r="AA158" s="5"/>
      <x:c r="AB158" s="6"/>
      <x:c r="AC158" s="5"/>
    </x:row>
    <x:row r="159">
      <x:c r="A159" s="5"/>
      <x:c r="B159" s="6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 t="str">
        <x:f t="shared" si="8"/>
      </x:c>
      <x:c r="P159" s="5" t="str">
        <x:f t="shared" si="9"/>
      </x:c>
      <x:c r="Q159" s="5"/>
      <x:c r="R159" s="5"/>
      <x:c r="S159" s="5"/>
      <x:c r="T159" s="5"/>
      <x:c r="U159" s="5"/>
      <x:c r="V159" s="5"/>
      <x:c r="W159" s="6"/>
      <x:c r="X159" s="6"/>
      <x:c r="Y159" s="5"/>
      <x:c r="Z159" s="5"/>
      <x:c r="AA159" s="5"/>
      <x:c r="AB159" s="6"/>
      <x:c r="AC159" s="5"/>
    </x:row>
    <x:row r="160">
      <x:c r="A160" s="5"/>
      <x:c r="B160" s="6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 t="str">
        <x:f t="shared" si="8"/>
      </x:c>
      <x:c r="P160" s="5" t="str">
        <x:f t="shared" si="9"/>
      </x:c>
      <x:c r="Q160" s="5"/>
      <x:c r="R160" s="5"/>
      <x:c r="S160" s="5"/>
      <x:c r="T160" s="5"/>
      <x:c r="U160" s="5"/>
      <x:c r="V160" s="5"/>
      <x:c r="W160" s="6"/>
      <x:c r="X160" s="6"/>
      <x:c r="Y160" s="5"/>
      <x:c r="Z160" s="5"/>
      <x:c r="AA160" s="5"/>
      <x:c r="AB160" s="6"/>
      <x:c r="AC160" s="5"/>
    </x:row>
    <x:row r="161">
      <x:c r="A161" s="5"/>
      <x:c r="B161" s="6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 t="str">
        <x:f t="shared" si="8"/>
      </x:c>
      <x:c r="P161" s="5" t="str">
        <x:f t="shared" si="9"/>
      </x:c>
      <x:c r="Q161" s="5"/>
      <x:c r="R161" s="5"/>
      <x:c r="S161" s="5"/>
      <x:c r="T161" s="5"/>
      <x:c r="U161" s="5"/>
      <x:c r="V161" s="5"/>
      <x:c r="W161" s="6"/>
      <x:c r="X161" s="6"/>
      <x:c r="Y161" s="5"/>
      <x:c r="Z161" s="5"/>
      <x:c r="AA161" s="5"/>
      <x:c r="AB161" s="6"/>
      <x:c r="AC161" s="5"/>
    </x:row>
    <x:row r="162">
      <x:c r="A162" s="5"/>
      <x:c r="B162" s="6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 t="str">
        <x:f t="shared" si="8"/>
      </x:c>
      <x:c r="P162" s="5" t="str">
        <x:f t="shared" si="9"/>
      </x:c>
      <x:c r="Q162" s="5"/>
      <x:c r="R162" s="5"/>
      <x:c r="S162" s="5"/>
      <x:c r="T162" s="5"/>
      <x:c r="U162" s="5"/>
      <x:c r="V162" s="5"/>
      <x:c r="W162" s="6"/>
      <x:c r="X162" s="6"/>
      <x:c r="Y162" s="5"/>
      <x:c r="Z162" s="5"/>
      <x:c r="AA162" s="5"/>
      <x:c r="AB162" s="6"/>
      <x:c r="AC162" s="5"/>
    </x:row>
    <x:row r="163">
      <x:c r="A163" s="5"/>
      <x:c r="B163" s="6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 t="str">
        <x:f t="shared" si="8"/>
      </x:c>
      <x:c r="P163" s="5" t="str">
        <x:f t="shared" si="9"/>
      </x:c>
      <x:c r="Q163" s="5"/>
      <x:c r="R163" s="5"/>
      <x:c r="S163" s="5"/>
      <x:c r="T163" s="5"/>
      <x:c r="U163" s="5"/>
      <x:c r="V163" s="5"/>
      <x:c r="W163" s="6"/>
      <x:c r="X163" s="6"/>
      <x:c r="Y163" s="5"/>
      <x:c r="Z163" s="5"/>
      <x:c r="AA163" s="5"/>
      <x:c r="AB163" s="6"/>
      <x:c r="AC163" s="5"/>
    </x:row>
    <x:row r="164">
      <x:c r="A164" s="5"/>
      <x:c r="B164" s="6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 t="str">
        <x:f t="shared" si="8"/>
      </x:c>
      <x:c r="P164" s="5" t="str">
        <x:f t="shared" si="9"/>
      </x:c>
      <x:c r="Q164" s="5"/>
      <x:c r="R164" s="5"/>
      <x:c r="S164" s="5"/>
      <x:c r="T164" s="5"/>
      <x:c r="U164" s="5"/>
      <x:c r="V164" s="5"/>
      <x:c r="W164" s="6"/>
      <x:c r="X164" s="6"/>
      <x:c r="Y164" s="5"/>
      <x:c r="Z164" s="5"/>
      <x:c r="AA164" s="5"/>
      <x:c r="AB164" s="6"/>
      <x:c r="AC164" s="5"/>
    </x:row>
    <x:row r="165">
      <x:c r="A165" s="5"/>
      <x:c r="B165" s="6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 t="str">
        <x:f t="shared" si="8"/>
      </x:c>
      <x:c r="P165" s="5" t="str">
        <x:f t="shared" si="9"/>
      </x:c>
      <x:c r="Q165" s="5"/>
      <x:c r="R165" s="5"/>
      <x:c r="S165" s="5"/>
      <x:c r="T165" s="5"/>
      <x:c r="U165" s="5"/>
      <x:c r="V165" s="5"/>
      <x:c r="W165" s="6"/>
      <x:c r="X165" s="6"/>
      <x:c r="Y165" s="5"/>
      <x:c r="Z165" s="5"/>
      <x:c r="AA165" s="5"/>
      <x:c r="AB165" s="6"/>
      <x:c r="AC165" s="5"/>
    </x:row>
    <x:row r="166">
      <x:c r="A166" s="5"/>
      <x:c r="B166" s="6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 t="str">
        <x:f t="shared" si="8"/>
      </x:c>
      <x:c r="P166" s="5" t="str">
        <x:f t="shared" si="9"/>
      </x:c>
      <x:c r="Q166" s="5"/>
      <x:c r="R166" s="5"/>
      <x:c r="S166" s="5"/>
      <x:c r="T166" s="5"/>
      <x:c r="U166" s="5"/>
      <x:c r="V166" s="5"/>
      <x:c r="W166" s="6"/>
      <x:c r="X166" s="6"/>
      <x:c r="Y166" s="5"/>
      <x:c r="Z166" s="5"/>
      <x:c r="AA166" s="5"/>
      <x:c r="AB166" s="6"/>
      <x:c r="AC166" s="5"/>
    </x:row>
    <x:row r="167">
      <x:c r="A167" s="5"/>
      <x:c r="B167" s="6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 t="str">
        <x:f t="shared" si="8"/>
      </x:c>
      <x:c r="P167" s="5" t="str">
        <x:f t="shared" si="9"/>
      </x:c>
      <x:c r="Q167" s="5"/>
      <x:c r="R167" s="5"/>
      <x:c r="S167" s="5"/>
      <x:c r="T167" s="5"/>
      <x:c r="U167" s="5"/>
      <x:c r="V167" s="5"/>
      <x:c r="W167" s="6"/>
      <x:c r="X167" s="6"/>
      <x:c r="Y167" s="5"/>
      <x:c r="Z167" s="5"/>
      <x:c r="AA167" s="5"/>
      <x:c r="AB167" s="6"/>
      <x:c r="AC167" s="5"/>
    </x:row>
    <x:row r="168">
      <x:c r="A168" s="5"/>
      <x:c r="B168" s="6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 t="str">
        <x:f t="shared" si="8"/>
      </x:c>
      <x:c r="P168" s="5" t="str">
        <x:f t="shared" si="9"/>
      </x:c>
      <x:c r="Q168" s="5"/>
      <x:c r="R168" s="5"/>
      <x:c r="S168" s="5"/>
      <x:c r="T168" s="5"/>
      <x:c r="U168" s="5"/>
      <x:c r="V168" s="5"/>
      <x:c r="W168" s="6"/>
      <x:c r="X168" s="6"/>
      <x:c r="Y168" s="5"/>
      <x:c r="Z168" s="5"/>
      <x:c r="AA168" s="5"/>
      <x:c r="AB168" s="6"/>
      <x:c r="AC168" s="5"/>
    </x:row>
    <x:row r="169">
      <x:c r="A169" s="5"/>
      <x:c r="B169" s="6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 t="str">
        <x:f t="shared" si="8"/>
      </x:c>
      <x:c r="P169" s="5" t="str">
        <x:f t="shared" si="9"/>
      </x:c>
      <x:c r="Q169" s="5"/>
      <x:c r="R169" s="5"/>
      <x:c r="S169" s="5"/>
      <x:c r="T169" s="5"/>
      <x:c r="U169" s="5"/>
      <x:c r="V169" s="5"/>
      <x:c r="W169" s="6"/>
      <x:c r="X169" s="6"/>
      <x:c r="Y169" s="5"/>
      <x:c r="Z169" s="5"/>
      <x:c r="AA169" s="5"/>
      <x:c r="AB169" s="6"/>
      <x:c r="AC169" s="5"/>
    </x:row>
    <x:row r="170">
      <x:c r="A170" s="5"/>
      <x:c r="B170" s="6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 t="str">
        <x:f t="shared" si="8"/>
      </x:c>
      <x:c r="P170" s="5" t="str">
        <x:f t="shared" si="9"/>
      </x:c>
      <x:c r="Q170" s="5"/>
      <x:c r="R170" s="5"/>
      <x:c r="S170" s="5"/>
      <x:c r="T170" s="5"/>
      <x:c r="U170" s="5"/>
      <x:c r="V170" s="5"/>
      <x:c r="W170" s="6"/>
      <x:c r="X170" s="6"/>
      <x:c r="Y170" s="5"/>
      <x:c r="Z170" s="5"/>
      <x:c r="AA170" s="5"/>
      <x:c r="AB170" s="6"/>
      <x:c r="AC170" s="5"/>
    </x:row>
    <x:row r="171">
      <x:c r="A171" s="5"/>
      <x:c r="B171" s="6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 t="str">
        <x:f t="shared" si="8"/>
      </x:c>
      <x:c r="P171" s="5" t="str">
        <x:f t="shared" si="9"/>
      </x:c>
      <x:c r="Q171" s="5"/>
      <x:c r="R171" s="5"/>
      <x:c r="S171" s="5"/>
      <x:c r="T171" s="5"/>
      <x:c r="U171" s="5"/>
      <x:c r="V171" s="5"/>
      <x:c r="W171" s="6"/>
      <x:c r="X171" s="6"/>
      <x:c r="Y171" s="5"/>
      <x:c r="Z171" s="5"/>
      <x:c r="AA171" s="5"/>
      <x:c r="AB171" s="6"/>
      <x:c r="AC171" s="5"/>
    </x:row>
    <x:row r="172">
      <x:c r="A172" s="5"/>
      <x:c r="B172" s="6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 t="str">
        <x:f t="shared" si="8"/>
      </x:c>
      <x:c r="P172" s="5" t="str">
        <x:f t="shared" si="9"/>
      </x:c>
      <x:c r="Q172" s="5"/>
      <x:c r="R172" s="5"/>
      <x:c r="S172" s="5"/>
      <x:c r="T172" s="5"/>
      <x:c r="U172" s="5"/>
      <x:c r="V172" s="5"/>
      <x:c r="W172" s="6"/>
      <x:c r="X172" s="6"/>
      <x:c r="Y172" s="5"/>
      <x:c r="Z172" s="5"/>
      <x:c r="AA172" s="5"/>
      <x:c r="AB172" s="6"/>
      <x:c r="AC172" s="5"/>
    </x:row>
    <x:row r="173">
      <x:c r="A173" s="5"/>
      <x:c r="B173" s="6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 t="str">
        <x:f t="shared" si="8"/>
      </x:c>
      <x:c r="P173" s="5" t="str">
        <x:f t="shared" si="9"/>
      </x:c>
      <x:c r="Q173" s="5"/>
      <x:c r="R173" s="5"/>
      <x:c r="S173" s="5"/>
      <x:c r="T173" s="5"/>
      <x:c r="U173" s="5"/>
      <x:c r="V173" s="5"/>
      <x:c r="W173" s="6"/>
      <x:c r="X173" s="6"/>
      <x:c r="Y173" s="5"/>
      <x:c r="Z173" s="5"/>
      <x:c r="AA173" s="5"/>
      <x:c r="AB173" s="6"/>
      <x:c r="AC173" s="5"/>
    </x:row>
    <x:row r="174">
      <x:c r="A174" s="5"/>
      <x:c r="B174" s="6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 t="str">
        <x:f t="shared" si="8"/>
      </x:c>
      <x:c r="P174" s="5" t="str">
        <x:f t="shared" si="9"/>
      </x:c>
      <x:c r="Q174" s="5"/>
      <x:c r="R174" s="5"/>
      <x:c r="S174" s="5"/>
      <x:c r="T174" s="5"/>
      <x:c r="U174" s="5"/>
      <x:c r="V174" s="5"/>
      <x:c r="W174" s="6"/>
      <x:c r="X174" s="6"/>
      <x:c r="Y174" s="5"/>
      <x:c r="Z174" s="5"/>
      <x:c r="AA174" s="5"/>
      <x:c r="AB174" s="6"/>
      <x:c r="AC174" s="5"/>
    </x:row>
    <x:row r="175">
      <x:c r="A175" s="5"/>
      <x:c r="B175" s="6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 t="str">
        <x:f t="shared" ref="O175:O206" si="10">IF(OR(M175="",N175=""),"",M175*N175)</x:f>
      </x:c>
      <x:c r="P175" s="5" t="str">
        <x:f t="shared" ref="P175:P206" si="11">IF(O175="","",IF(O175&lt;=4,"Bajo",IF(O175&lt;=9,"Medio",IF(O175&lt;=16,"Alto","Crítico"))))</x:f>
      </x:c>
      <x:c r="Q175" s="5"/>
      <x:c r="R175" s="5"/>
      <x:c r="S175" s="5"/>
      <x:c r="T175" s="5"/>
      <x:c r="U175" s="5"/>
      <x:c r="V175" s="5"/>
      <x:c r="W175" s="6"/>
      <x:c r="X175" s="6"/>
      <x:c r="Y175" s="5"/>
      <x:c r="Z175" s="5"/>
      <x:c r="AA175" s="5"/>
      <x:c r="AB175" s="6"/>
      <x:c r="AC175" s="5"/>
    </x:row>
    <x:row r="176">
      <x:c r="A176" s="5"/>
      <x:c r="B176" s="6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 t="str">
        <x:f t="shared" si="10"/>
      </x:c>
      <x:c r="P176" s="5" t="str">
        <x:f t="shared" si="11"/>
      </x:c>
      <x:c r="Q176" s="5"/>
      <x:c r="R176" s="5"/>
      <x:c r="S176" s="5"/>
      <x:c r="T176" s="5"/>
      <x:c r="U176" s="5"/>
      <x:c r="V176" s="5"/>
      <x:c r="W176" s="6"/>
      <x:c r="X176" s="6"/>
      <x:c r="Y176" s="5"/>
      <x:c r="Z176" s="5"/>
      <x:c r="AA176" s="5"/>
      <x:c r="AB176" s="6"/>
      <x:c r="AC176" s="5"/>
    </x:row>
    <x:row r="177">
      <x:c r="A177" s="5"/>
      <x:c r="B177" s="6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 t="str">
        <x:f t="shared" si="10"/>
      </x:c>
      <x:c r="P177" s="5" t="str">
        <x:f t="shared" si="11"/>
      </x:c>
      <x:c r="Q177" s="5"/>
      <x:c r="R177" s="5"/>
      <x:c r="S177" s="5"/>
      <x:c r="T177" s="5"/>
      <x:c r="U177" s="5"/>
      <x:c r="V177" s="5"/>
      <x:c r="W177" s="6"/>
      <x:c r="X177" s="6"/>
      <x:c r="Y177" s="5"/>
      <x:c r="Z177" s="5"/>
      <x:c r="AA177" s="5"/>
      <x:c r="AB177" s="6"/>
      <x:c r="AC177" s="5"/>
    </x:row>
    <x:row r="178">
      <x:c r="A178" s="5"/>
      <x:c r="B178" s="6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 t="str">
        <x:f t="shared" si="10"/>
      </x:c>
      <x:c r="P178" s="5" t="str">
        <x:f t="shared" si="11"/>
      </x:c>
      <x:c r="Q178" s="5"/>
      <x:c r="R178" s="5"/>
      <x:c r="S178" s="5"/>
      <x:c r="T178" s="5"/>
      <x:c r="U178" s="5"/>
      <x:c r="V178" s="5"/>
      <x:c r="W178" s="6"/>
      <x:c r="X178" s="6"/>
      <x:c r="Y178" s="5"/>
      <x:c r="Z178" s="5"/>
      <x:c r="AA178" s="5"/>
      <x:c r="AB178" s="6"/>
      <x:c r="AC178" s="5"/>
    </x:row>
    <x:row r="179">
      <x:c r="A179" s="5"/>
      <x:c r="B179" s="6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 t="str">
        <x:f t="shared" si="10"/>
      </x:c>
      <x:c r="P179" s="5" t="str">
        <x:f t="shared" si="11"/>
      </x:c>
      <x:c r="Q179" s="5"/>
      <x:c r="R179" s="5"/>
      <x:c r="S179" s="5"/>
      <x:c r="T179" s="5"/>
      <x:c r="U179" s="5"/>
      <x:c r="V179" s="5"/>
      <x:c r="W179" s="6"/>
      <x:c r="X179" s="6"/>
      <x:c r="Y179" s="5"/>
      <x:c r="Z179" s="5"/>
      <x:c r="AA179" s="5"/>
      <x:c r="AB179" s="6"/>
      <x:c r="AC179" s="5"/>
    </x:row>
    <x:row r="180">
      <x:c r="A180" s="5"/>
      <x:c r="B180" s="6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 t="str">
        <x:f t="shared" si="10"/>
      </x:c>
      <x:c r="P180" s="5" t="str">
        <x:f t="shared" si="11"/>
      </x:c>
      <x:c r="Q180" s="5"/>
      <x:c r="R180" s="5"/>
      <x:c r="S180" s="5"/>
      <x:c r="T180" s="5"/>
      <x:c r="U180" s="5"/>
      <x:c r="V180" s="5"/>
      <x:c r="W180" s="6"/>
      <x:c r="X180" s="6"/>
      <x:c r="Y180" s="5"/>
      <x:c r="Z180" s="5"/>
      <x:c r="AA180" s="5"/>
      <x:c r="AB180" s="6"/>
      <x:c r="AC180" s="5"/>
    </x:row>
    <x:row r="181">
      <x:c r="A181" s="5"/>
      <x:c r="B181" s="6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 t="str">
        <x:f t="shared" si="10"/>
      </x:c>
      <x:c r="P181" s="5" t="str">
        <x:f t="shared" si="11"/>
      </x:c>
      <x:c r="Q181" s="5"/>
      <x:c r="R181" s="5"/>
      <x:c r="S181" s="5"/>
      <x:c r="T181" s="5"/>
      <x:c r="U181" s="5"/>
      <x:c r="V181" s="5"/>
      <x:c r="W181" s="6"/>
      <x:c r="X181" s="6"/>
      <x:c r="Y181" s="5"/>
      <x:c r="Z181" s="5"/>
      <x:c r="AA181" s="5"/>
      <x:c r="AB181" s="6"/>
      <x:c r="AC181" s="5"/>
    </x:row>
    <x:row r="182">
      <x:c r="A182" s="5"/>
      <x:c r="B182" s="6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 t="str">
        <x:f t="shared" si="10"/>
      </x:c>
      <x:c r="P182" s="5" t="str">
        <x:f t="shared" si="11"/>
      </x:c>
      <x:c r="Q182" s="5"/>
      <x:c r="R182" s="5"/>
      <x:c r="S182" s="5"/>
      <x:c r="T182" s="5"/>
      <x:c r="U182" s="5"/>
      <x:c r="V182" s="5"/>
      <x:c r="W182" s="6"/>
      <x:c r="X182" s="6"/>
      <x:c r="Y182" s="5"/>
      <x:c r="Z182" s="5"/>
      <x:c r="AA182" s="5"/>
      <x:c r="AB182" s="6"/>
      <x:c r="AC182" s="5"/>
    </x:row>
    <x:row r="183">
      <x:c r="A183" s="5"/>
      <x:c r="B183" s="6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 t="str">
        <x:f t="shared" si="10"/>
      </x:c>
      <x:c r="P183" s="5" t="str">
        <x:f t="shared" si="11"/>
      </x:c>
      <x:c r="Q183" s="5"/>
      <x:c r="R183" s="5"/>
      <x:c r="S183" s="5"/>
      <x:c r="T183" s="5"/>
      <x:c r="U183" s="5"/>
      <x:c r="V183" s="5"/>
      <x:c r="W183" s="6"/>
      <x:c r="X183" s="6"/>
      <x:c r="Y183" s="5"/>
      <x:c r="Z183" s="5"/>
      <x:c r="AA183" s="5"/>
      <x:c r="AB183" s="6"/>
      <x:c r="AC183" s="5"/>
    </x:row>
    <x:row r="184">
      <x:c r="A184" s="5"/>
      <x:c r="B184" s="6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 t="str">
        <x:f t="shared" si="10"/>
      </x:c>
      <x:c r="P184" s="5" t="str">
        <x:f t="shared" si="11"/>
      </x:c>
      <x:c r="Q184" s="5"/>
      <x:c r="R184" s="5"/>
      <x:c r="S184" s="5"/>
      <x:c r="T184" s="5"/>
      <x:c r="U184" s="5"/>
      <x:c r="V184" s="5"/>
      <x:c r="W184" s="6"/>
      <x:c r="X184" s="6"/>
      <x:c r="Y184" s="5"/>
      <x:c r="Z184" s="5"/>
      <x:c r="AA184" s="5"/>
      <x:c r="AB184" s="6"/>
      <x:c r="AC184" s="5"/>
    </x:row>
    <x:row r="185">
      <x:c r="A185" s="5"/>
      <x:c r="B185" s="6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 t="str">
        <x:f t="shared" si="10"/>
      </x:c>
      <x:c r="P185" s="5" t="str">
        <x:f t="shared" si="11"/>
      </x:c>
      <x:c r="Q185" s="5"/>
      <x:c r="R185" s="5"/>
      <x:c r="S185" s="5"/>
      <x:c r="T185" s="5"/>
      <x:c r="U185" s="5"/>
      <x:c r="V185" s="5"/>
      <x:c r="W185" s="6"/>
      <x:c r="X185" s="6"/>
      <x:c r="Y185" s="5"/>
      <x:c r="Z185" s="5"/>
      <x:c r="AA185" s="5"/>
      <x:c r="AB185" s="6"/>
      <x:c r="AC185" s="5"/>
    </x:row>
    <x:row r="186">
      <x:c r="A186" s="5"/>
      <x:c r="B186" s="6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 t="str">
        <x:f t="shared" si="10"/>
      </x:c>
      <x:c r="P186" s="5" t="str">
        <x:f t="shared" si="11"/>
      </x:c>
      <x:c r="Q186" s="5"/>
      <x:c r="R186" s="5"/>
      <x:c r="S186" s="5"/>
      <x:c r="T186" s="5"/>
      <x:c r="U186" s="5"/>
      <x:c r="V186" s="5"/>
      <x:c r="W186" s="6"/>
      <x:c r="X186" s="6"/>
      <x:c r="Y186" s="5"/>
      <x:c r="Z186" s="5"/>
      <x:c r="AA186" s="5"/>
      <x:c r="AB186" s="6"/>
      <x:c r="AC186" s="5"/>
    </x:row>
    <x:row r="187">
      <x:c r="A187" s="5"/>
      <x:c r="B187" s="6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 t="str">
        <x:f t="shared" si="10"/>
      </x:c>
      <x:c r="P187" s="5" t="str">
        <x:f t="shared" si="11"/>
      </x:c>
      <x:c r="Q187" s="5"/>
      <x:c r="R187" s="5"/>
      <x:c r="S187" s="5"/>
      <x:c r="T187" s="5"/>
      <x:c r="U187" s="5"/>
      <x:c r="V187" s="5"/>
      <x:c r="W187" s="6"/>
      <x:c r="X187" s="6"/>
      <x:c r="Y187" s="5"/>
      <x:c r="Z187" s="5"/>
      <x:c r="AA187" s="5"/>
      <x:c r="AB187" s="6"/>
      <x:c r="AC187" s="5"/>
    </x:row>
    <x:row r="188">
      <x:c r="A188" s="5"/>
      <x:c r="B188" s="6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 t="str">
        <x:f t="shared" si="10"/>
      </x:c>
      <x:c r="P188" s="5" t="str">
        <x:f t="shared" si="11"/>
      </x:c>
      <x:c r="Q188" s="5"/>
      <x:c r="R188" s="5"/>
      <x:c r="S188" s="5"/>
      <x:c r="T188" s="5"/>
      <x:c r="U188" s="5"/>
      <x:c r="V188" s="5"/>
      <x:c r="W188" s="6"/>
      <x:c r="X188" s="6"/>
      <x:c r="Y188" s="5"/>
      <x:c r="Z188" s="5"/>
      <x:c r="AA188" s="5"/>
      <x:c r="AB188" s="6"/>
      <x:c r="AC188" s="5"/>
    </x:row>
    <x:row r="189">
      <x:c r="A189" s="5"/>
      <x:c r="B189" s="6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 t="str">
        <x:f t="shared" si="10"/>
      </x:c>
      <x:c r="P189" s="5" t="str">
        <x:f t="shared" si="11"/>
      </x:c>
      <x:c r="Q189" s="5"/>
      <x:c r="R189" s="5"/>
      <x:c r="S189" s="5"/>
      <x:c r="T189" s="5"/>
      <x:c r="U189" s="5"/>
      <x:c r="V189" s="5"/>
      <x:c r="W189" s="6"/>
      <x:c r="X189" s="6"/>
      <x:c r="Y189" s="5"/>
      <x:c r="Z189" s="5"/>
      <x:c r="AA189" s="5"/>
      <x:c r="AB189" s="6"/>
      <x:c r="AC189" s="5"/>
    </x:row>
    <x:row r="190">
      <x:c r="A190" s="5"/>
      <x:c r="B190" s="6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 t="str">
        <x:f t="shared" si="10"/>
      </x:c>
      <x:c r="P190" s="5" t="str">
        <x:f t="shared" si="11"/>
      </x:c>
      <x:c r="Q190" s="5"/>
      <x:c r="R190" s="5"/>
      <x:c r="S190" s="5"/>
      <x:c r="T190" s="5"/>
      <x:c r="U190" s="5"/>
      <x:c r="V190" s="5"/>
      <x:c r="W190" s="6"/>
      <x:c r="X190" s="6"/>
      <x:c r="Y190" s="5"/>
      <x:c r="Z190" s="5"/>
      <x:c r="AA190" s="5"/>
      <x:c r="AB190" s="6"/>
      <x:c r="AC190" s="5"/>
    </x:row>
    <x:row r="191">
      <x:c r="A191" s="5"/>
      <x:c r="B191" s="6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 t="str">
        <x:f t="shared" si="10"/>
      </x:c>
      <x:c r="P191" s="5" t="str">
        <x:f t="shared" si="11"/>
      </x:c>
      <x:c r="Q191" s="5"/>
      <x:c r="R191" s="5"/>
      <x:c r="S191" s="5"/>
      <x:c r="T191" s="5"/>
      <x:c r="U191" s="5"/>
      <x:c r="V191" s="5"/>
      <x:c r="W191" s="6"/>
      <x:c r="X191" s="6"/>
      <x:c r="Y191" s="5"/>
      <x:c r="Z191" s="5"/>
      <x:c r="AA191" s="5"/>
      <x:c r="AB191" s="6"/>
      <x:c r="AC191" s="5"/>
    </x:row>
    <x:row r="192">
      <x:c r="A192" s="5"/>
      <x:c r="B192" s="6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 t="str">
        <x:f t="shared" si="10"/>
      </x:c>
      <x:c r="P192" s="5" t="str">
        <x:f t="shared" si="11"/>
      </x:c>
      <x:c r="Q192" s="5"/>
      <x:c r="R192" s="5"/>
      <x:c r="S192" s="5"/>
      <x:c r="T192" s="5"/>
      <x:c r="U192" s="5"/>
      <x:c r="V192" s="5"/>
      <x:c r="W192" s="6"/>
      <x:c r="X192" s="6"/>
      <x:c r="Y192" s="5"/>
      <x:c r="Z192" s="5"/>
      <x:c r="AA192" s="5"/>
      <x:c r="AB192" s="6"/>
      <x:c r="AC192" s="5"/>
    </x:row>
    <x:row r="193">
      <x:c r="A193" s="5"/>
      <x:c r="B193" s="6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 t="str">
        <x:f t="shared" si="10"/>
      </x:c>
      <x:c r="P193" s="5" t="str">
        <x:f t="shared" si="11"/>
      </x:c>
      <x:c r="Q193" s="5"/>
      <x:c r="R193" s="5"/>
      <x:c r="S193" s="5"/>
      <x:c r="T193" s="5"/>
      <x:c r="U193" s="5"/>
      <x:c r="V193" s="5"/>
      <x:c r="W193" s="6"/>
      <x:c r="X193" s="6"/>
      <x:c r="Y193" s="5"/>
      <x:c r="Z193" s="5"/>
      <x:c r="AA193" s="5"/>
      <x:c r="AB193" s="6"/>
      <x:c r="AC193" s="5"/>
    </x:row>
    <x:row r="194">
      <x:c r="A194" s="5"/>
      <x:c r="B194" s="6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 t="str">
        <x:f t="shared" si="10"/>
      </x:c>
      <x:c r="P194" s="5" t="str">
        <x:f t="shared" si="11"/>
      </x:c>
      <x:c r="Q194" s="5"/>
      <x:c r="R194" s="5"/>
      <x:c r="S194" s="5"/>
      <x:c r="T194" s="5"/>
      <x:c r="U194" s="5"/>
      <x:c r="V194" s="5"/>
      <x:c r="W194" s="6"/>
      <x:c r="X194" s="6"/>
      <x:c r="Y194" s="5"/>
      <x:c r="Z194" s="5"/>
      <x:c r="AA194" s="5"/>
      <x:c r="AB194" s="6"/>
      <x:c r="AC194" s="5"/>
    </x:row>
    <x:row r="195">
      <x:c r="A195" s="5"/>
      <x:c r="B195" s="6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 t="str">
        <x:f t="shared" si="10"/>
      </x:c>
      <x:c r="P195" s="5" t="str">
        <x:f t="shared" si="11"/>
      </x:c>
      <x:c r="Q195" s="5"/>
      <x:c r="R195" s="5"/>
      <x:c r="S195" s="5"/>
      <x:c r="T195" s="5"/>
      <x:c r="U195" s="5"/>
      <x:c r="V195" s="5"/>
      <x:c r="W195" s="6"/>
      <x:c r="X195" s="6"/>
      <x:c r="Y195" s="5"/>
      <x:c r="Z195" s="5"/>
      <x:c r="AA195" s="5"/>
      <x:c r="AB195" s="6"/>
      <x:c r="AC195" s="5"/>
    </x:row>
    <x:row r="196">
      <x:c r="A196" s="5"/>
      <x:c r="B196" s="6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 t="str">
        <x:f t="shared" si="10"/>
      </x:c>
      <x:c r="P196" s="5" t="str">
        <x:f t="shared" si="11"/>
      </x:c>
      <x:c r="Q196" s="5"/>
      <x:c r="R196" s="5"/>
      <x:c r="S196" s="5"/>
      <x:c r="T196" s="5"/>
      <x:c r="U196" s="5"/>
      <x:c r="V196" s="5"/>
      <x:c r="W196" s="6"/>
      <x:c r="X196" s="6"/>
      <x:c r="Y196" s="5"/>
      <x:c r="Z196" s="5"/>
      <x:c r="AA196" s="5"/>
      <x:c r="AB196" s="6"/>
      <x:c r="AC196" s="5"/>
    </x:row>
    <x:row r="197">
      <x:c r="A197" s="5"/>
      <x:c r="B197" s="6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 t="str">
        <x:f t="shared" si="10"/>
      </x:c>
      <x:c r="P197" s="5" t="str">
        <x:f t="shared" si="11"/>
      </x:c>
      <x:c r="Q197" s="5"/>
      <x:c r="R197" s="5"/>
      <x:c r="S197" s="5"/>
      <x:c r="T197" s="5"/>
      <x:c r="U197" s="5"/>
      <x:c r="V197" s="5"/>
      <x:c r="W197" s="6"/>
      <x:c r="X197" s="6"/>
      <x:c r="Y197" s="5"/>
      <x:c r="Z197" s="5"/>
      <x:c r="AA197" s="5"/>
      <x:c r="AB197" s="6"/>
      <x:c r="AC197" s="5"/>
    </x:row>
    <x:row r="198">
      <x:c r="A198" s="5"/>
      <x:c r="B198" s="6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 t="str">
        <x:f t="shared" si="10"/>
      </x:c>
      <x:c r="P198" s="5" t="str">
        <x:f t="shared" si="11"/>
      </x:c>
      <x:c r="Q198" s="5"/>
      <x:c r="R198" s="5"/>
      <x:c r="S198" s="5"/>
      <x:c r="T198" s="5"/>
      <x:c r="U198" s="5"/>
      <x:c r="V198" s="5"/>
      <x:c r="W198" s="6"/>
      <x:c r="X198" s="6"/>
      <x:c r="Y198" s="5"/>
      <x:c r="Z198" s="5"/>
      <x:c r="AA198" s="5"/>
      <x:c r="AB198" s="6"/>
      <x:c r="AC198" s="5"/>
    </x:row>
    <x:row r="199">
      <x:c r="A199" s="5"/>
      <x:c r="B199" s="6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 t="str">
        <x:f t="shared" si="10"/>
      </x:c>
      <x:c r="P199" s="5" t="str">
        <x:f t="shared" si="11"/>
      </x:c>
      <x:c r="Q199" s="5"/>
      <x:c r="R199" s="5"/>
      <x:c r="S199" s="5"/>
      <x:c r="T199" s="5"/>
      <x:c r="U199" s="5"/>
      <x:c r="V199" s="5"/>
      <x:c r="W199" s="6"/>
      <x:c r="X199" s="6"/>
      <x:c r="Y199" s="5"/>
      <x:c r="Z199" s="5"/>
      <x:c r="AA199" s="5"/>
      <x:c r="AB199" s="6"/>
      <x:c r="AC199" s="5"/>
    </x:row>
    <x:row r="200">
      <x:c r="A200" s="5"/>
      <x:c r="B200" s="6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 t="str">
        <x:f t="shared" si="10"/>
      </x:c>
      <x:c r="P200" s="5" t="str">
        <x:f t="shared" si="11"/>
      </x:c>
      <x:c r="Q200" s="5"/>
      <x:c r="R200" s="5"/>
      <x:c r="S200" s="5"/>
      <x:c r="T200" s="5"/>
      <x:c r="U200" s="5"/>
      <x:c r="V200" s="5"/>
      <x:c r="W200" s="6"/>
      <x:c r="X200" s="6"/>
      <x:c r="Y200" s="5"/>
      <x:c r="Z200" s="5"/>
      <x:c r="AA200" s="5"/>
      <x:c r="AB200" s="6"/>
      <x:c r="AC200" s="5"/>
    </x:row>
    <x:row r="201">
      <x:c r="A201" s="5"/>
      <x:c r="B201" s="6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 t="str">
        <x:f t="shared" si="10"/>
      </x:c>
      <x:c r="P201" s="5" t="str">
        <x:f t="shared" si="11"/>
      </x:c>
      <x:c r="Q201" s="5"/>
      <x:c r="R201" s="5"/>
      <x:c r="S201" s="5"/>
      <x:c r="T201" s="5"/>
      <x:c r="U201" s="5"/>
      <x:c r="V201" s="5"/>
      <x:c r="W201" s="6"/>
      <x:c r="X201" s="6"/>
      <x:c r="Y201" s="5"/>
      <x:c r="Z201" s="5"/>
      <x:c r="AA201" s="5"/>
      <x:c r="AB201" s="6"/>
      <x:c r="AC201" s="5"/>
    </x:row>
    <x:row r="202">
      <x:c r="A202" s="5"/>
      <x:c r="B202" s="6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 t="str">
        <x:f t="shared" si="10"/>
      </x:c>
      <x:c r="P202" s="5" t="str">
        <x:f t="shared" si="11"/>
      </x:c>
      <x:c r="Q202" s="5"/>
      <x:c r="R202" s="5"/>
      <x:c r="S202" s="5"/>
      <x:c r="T202" s="5"/>
      <x:c r="U202" s="5"/>
      <x:c r="V202" s="5"/>
      <x:c r="W202" s="6"/>
      <x:c r="X202" s="6"/>
      <x:c r="Y202" s="5"/>
      <x:c r="Z202" s="5"/>
      <x:c r="AA202" s="5"/>
      <x:c r="AB202" s="6"/>
      <x:c r="AC202" s="5"/>
    </x:row>
    <x:row r="203">
      <x:c r="A203" s="5"/>
      <x:c r="B203" s="6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 t="str">
        <x:f t="shared" si="10"/>
      </x:c>
      <x:c r="P203" s="5" t="str">
        <x:f t="shared" si="11"/>
      </x:c>
      <x:c r="Q203" s="5"/>
      <x:c r="R203" s="5"/>
      <x:c r="S203" s="5"/>
      <x:c r="T203" s="5"/>
      <x:c r="U203" s="5"/>
      <x:c r="V203" s="5"/>
      <x:c r="W203" s="6"/>
      <x:c r="X203" s="6"/>
      <x:c r="Y203" s="5"/>
      <x:c r="Z203" s="5"/>
      <x:c r="AA203" s="5"/>
      <x:c r="AB203" s="6"/>
      <x:c r="AC203" s="5"/>
    </x:row>
    <x:row r="204">
      <x:c r="A204" s="5"/>
      <x:c r="B204" s="6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 t="str">
        <x:f t="shared" si="10"/>
      </x:c>
      <x:c r="P204" s="5" t="str">
        <x:f t="shared" si="11"/>
      </x:c>
      <x:c r="Q204" s="5"/>
      <x:c r="R204" s="5"/>
      <x:c r="S204" s="5"/>
      <x:c r="T204" s="5"/>
      <x:c r="U204" s="5"/>
      <x:c r="V204" s="5"/>
      <x:c r="W204" s="6"/>
      <x:c r="X204" s="6"/>
      <x:c r="Y204" s="5"/>
      <x:c r="Z204" s="5"/>
      <x:c r="AA204" s="5"/>
      <x:c r="AB204" s="6"/>
      <x:c r="AC204" s="5"/>
    </x:row>
    <x:row r="205">
      <x:c r="A205" s="5"/>
      <x:c r="B205" s="6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 t="str">
        <x:f t="shared" si="10"/>
      </x:c>
      <x:c r="P205" s="5" t="str">
        <x:f t="shared" si="11"/>
      </x:c>
      <x:c r="Q205" s="5"/>
      <x:c r="R205" s="5"/>
      <x:c r="S205" s="5"/>
      <x:c r="T205" s="5"/>
      <x:c r="U205" s="5"/>
      <x:c r="V205" s="5"/>
      <x:c r="W205" s="6"/>
      <x:c r="X205" s="6"/>
      <x:c r="Y205" s="5"/>
      <x:c r="Z205" s="5"/>
      <x:c r="AA205" s="5"/>
      <x:c r="AB205" s="6"/>
      <x:c r="AC205" s="5"/>
    </x:row>
    <x:row r="206">
      <x:c r="A206" s="5"/>
      <x:c r="B206" s="6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 t="str">
        <x:f t="shared" si="10"/>
      </x:c>
      <x:c r="P206" s="5" t="str">
        <x:f t="shared" si="11"/>
      </x:c>
      <x:c r="Q206" s="5"/>
      <x:c r="R206" s="5"/>
      <x:c r="S206" s="5"/>
      <x:c r="T206" s="5"/>
      <x:c r="U206" s="5"/>
      <x:c r="V206" s="5"/>
      <x:c r="W206" s="6"/>
      <x:c r="X206" s="6"/>
      <x:c r="Y206" s="5"/>
      <x:c r="Z206" s="5"/>
      <x:c r="AA206" s="5"/>
      <x:c r="AB206" s="6"/>
      <x:c r="AC206" s="5"/>
    </x:row>
    <x:row r="207">
      <x:c r="A207" s="5"/>
      <x:c r="B207" s="6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 t="str">
        <x:f t="shared" ref="O207:O214" si="12">IF(OR(M207="",N207=""),"",M207*N207)</x:f>
      </x:c>
      <x:c r="P207" s="5" t="str">
        <x:f t="shared" ref="P207:P214" si="13">IF(O207="","",IF(O207&lt;=4,"Bajo",IF(O207&lt;=9,"Medio",IF(O207&lt;=16,"Alto","Crítico"))))</x:f>
      </x:c>
      <x:c r="Q207" s="5"/>
      <x:c r="R207" s="5"/>
      <x:c r="S207" s="5"/>
      <x:c r="T207" s="5"/>
      <x:c r="U207" s="5"/>
      <x:c r="V207" s="5"/>
      <x:c r="W207" s="6"/>
      <x:c r="X207" s="6"/>
      <x:c r="Y207" s="5"/>
      <x:c r="Z207" s="5"/>
      <x:c r="AA207" s="5"/>
      <x:c r="AB207" s="6"/>
      <x:c r="AC207" s="5"/>
    </x:row>
    <x:row r="208">
      <x:c r="A208" s="5"/>
      <x:c r="B208" s="6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 t="str">
        <x:f t="shared" si="12"/>
      </x:c>
      <x:c r="P208" s="5" t="str">
        <x:f t="shared" si="13"/>
      </x:c>
      <x:c r="Q208" s="5"/>
      <x:c r="R208" s="5"/>
      <x:c r="S208" s="5"/>
      <x:c r="T208" s="5"/>
      <x:c r="U208" s="5"/>
      <x:c r="V208" s="5"/>
      <x:c r="W208" s="6"/>
      <x:c r="X208" s="6"/>
      <x:c r="Y208" s="5"/>
      <x:c r="Z208" s="5"/>
      <x:c r="AA208" s="5"/>
      <x:c r="AB208" s="6"/>
      <x:c r="AC208" s="5"/>
    </x:row>
    <x:row r="209">
      <x:c r="A209" s="5"/>
      <x:c r="B209" s="6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 t="str">
        <x:f t="shared" si="12"/>
      </x:c>
      <x:c r="P209" s="5" t="str">
        <x:f t="shared" si="13"/>
      </x:c>
      <x:c r="Q209" s="5"/>
      <x:c r="R209" s="5"/>
      <x:c r="S209" s="5"/>
      <x:c r="T209" s="5"/>
      <x:c r="U209" s="5"/>
      <x:c r="V209" s="5"/>
      <x:c r="W209" s="6"/>
      <x:c r="X209" s="6"/>
      <x:c r="Y209" s="5"/>
      <x:c r="Z209" s="5"/>
      <x:c r="AA209" s="5"/>
      <x:c r="AB209" s="6"/>
      <x:c r="AC209" s="5"/>
    </x:row>
    <x:row r="210">
      <x:c r="A210" s="5"/>
      <x:c r="B210" s="6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 t="str">
        <x:f t="shared" si="12"/>
      </x:c>
      <x:c r="P210" s="5" t="str">
        <x:f t="shared" si="13"/>
      </x:c>
      <x:c r="Q210" s="5"/>
      <x:c r="R210" s="5"/>
      <x:c r="S210" s="5"/>
      <x:c r="T210" s="5"/>
      <x:c r="U210" s="5"/>
      <x:c r="V210" s="5"/>
      <x:c r="W210" s="6"/>
      <x:c r="X210" s="6"/>
      <x:c r="Y210" s="5"/>
      <x:c r="Z210" s="5"/>
      <x:c r="AA210" s="5"/>
      <x:c r="AB210" s="6"/>
      <x:c r="AC210" s="5"/>
    </x:row>
    <x:row r="211">
      <x:c r="A211" s="5"/>
      <x:c r="B211" s="6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 t="str">
        <x:f t="shared" si="12"/>
      </x:c>
      <x:c r="P211" s="5" t="str">
        <x:f t="shared" si="13"/>
      </x:c>
      <x:c r="Q211" s="5"/>
      <x:c r="R211" s="5"/>
      <x:c r="S211" s="5"/>
      <x:c r="T211" s="5"/>
      <x:c r="U211" s="5"/>
      <x:c r="V211" s="5"/>
      <x:c r="W211" s="6"/>
      <x:c r="X211" s="6"/>
      <x:c r="Y211" s="5"/>
      <x:c r="Z211" s="5"/>
      <x:c r="AA211" s="5"/>
      <x:c r="AB211" s="6"/>
      <x:c r="AC211" s="5"/>
    </x:row>
    <x:row r="212">
      <x:c r="A212" s="5"/>
      <x:c r="B212" s="6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 t="str">
        <x:f t="shared" si="12"/>
      </x:c>
      <x:c r="P212" s="5" t="str">
        <x:f t="shared" si="13"/>
      </x:c>
      <x:c r="Q212" s="5"/>
      <x:c r="R212" s="5"/>
      <x:c r="S212" s="5"/>
      <x:c r="T212" s="5"/>
      <x:c r="U212" s="5"/>
      <x:c r="V212" s="5"/>
      <x:c r="W212" s="6"/>
      <x:c r="X212" s="6"/>
      <x:c r="Y212" s="5"/>
      <x:c r="Z212" s="5"/>
      <x:c r="AA212" s="5"/>
      <x:c r="AB212" s="6"/>
      <x:c r="AC212" s="5"/>
    </x:row>
    <x:row r="213">
      <x:c r="A213" s="5"/>
      <x:c r="B213" s="6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 t="str">
        <x:f t="shared" si="12"/>
      </x:c>
      <x:c r="P213" s="5" t="str">
        <x:f t="shared" si="13"/>
      </x:c>
      <x:c r="Q213" s="5"/>
      <x:c r="R213" s="5"/>
      <x:c r="S213" s="5"/>
      <x:c r="T213" s="5"/>
      <x:c r="U213" s="5"/>
      <x:c r="V213" s="5"/>
      <x:c r="W213" s="6"/>
      <x:c r="X213" s="6"/>
      <x:c r="Y213" s="5"/>
      <x:c r="Z213" s="5"/>
      <x:c r="AA213" s="5"/>
      <x:c r="AB213" s="6"/>
      <x:c r="AC213" s="5"/>
    </x:row>
    <x:row r="214">
      <x:c r="A214" s="5"/>
      <x:c r="B214" s="6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 t="str">
        <x:f t="shared" si="12"/>
      </x:c>
      <x:c r="P214" s="5" t="str">
        <x:f t="shared" si="13"/>
      </x:c>
      <x:c r="Q214" s="5"/>
      <x:c r="R214" s="5"/>
      <x:c r="S214" s="5"/>
      <x:c r="T214" s="5"/>
      <x:c r="U214" s="5"/>
      <x:c r="V214" s="5"/>
      <x:c r="W214" s="6"/>
      <x:c r="X214" s="6"/>
      <x:c r="Y214" s="5"/>
      <x:c r="Z214" s="5"/>
      <x:c r="AA214" s="5"/>
      <x:c r="AB214" s="6"/>
      <x:c r="AC214" s="5"/>
    </x:row>
  </x:sheetData>
  <x:mergeCells>
    <x:mergeCell ref="A2:AC3"/>
    <x:mergeCell ref="A4:AC4"/>
    <x:mergeCell ref="A6:AC6"/>
    <x:mergeCell ref="A11:AC11"/>
  </x:mergeCells>
  <x:conditionalFormatting sqref="P15:P214">
    <x:cfRule type="containsText" dxfId="2" priority="1" operator="containsText" text="Crítico"/>
    <x:cfRule type="containsText" dxfId="1" priority="2" operator="containsText" text="Alto"/>
  </x:conditionalFormatting>
  <x:conditionalFormatting sqref="U15:U214">
    <x:cfRule type="containsText" dxfId="0" priority="3" operator="containsText" text="Cerrado"/>
  </x:conditionalFormatting>
  <x:dataValidations count="2">
    <x:dataValidation type="whole" sqref="M15:N214">
      <x:formula1>1</x:formula1>
      <x:formula2>5</x:formula2>
    </x:dataValidation>
    <x:dataValidation type="whole" sqref="Q15:Q214">
      <x:formula1>0</x:formula1>
      <x:formula2>1000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92351"/>
  </x:sheetPr>
  <x:sheetViews>
    <x:sheetView showGridLines="0" workbookViewId="0">
      <x:pane ySplit="4" topLeftCell="A5" activePane="bottomLeft" state="frozen"/>
    </x:sheetView>
  </x:sheetViews>
  <x:sheetFormatPr baseColWidth="10" defaultColWidth="8.796875" defaultRowHeight="13.800000190734863"/>
  <x:cols>
    <x:col min="2" max="2" width="28" customWidth="1"/>
    <x:col min="3" max="5" width="13" customWidth="1"/>
    <x:col min="6" max="6" width="23" customWidth="1"/>
    <x:col min="7" max="10" width="13" customWidth="1"/>
  </x:cols>
  <x:sheetData>
    <x:row r="2" ht="31.950000762939453" customHeight="1">
      <x:c r="B2" s="8" t="s">
        <x:v>160</x:v>
      </x:c>
      <x:c r="C2" s="9"/>
      <x:c r="D2" s="9"/>
      <x:c r="E2" s="9"/>
      <x:c r="F2" s="9"/>
      <x:c r="G2" s="9"/>
      <x:c r="H2" s="9"/>
      <x:c r="I2" s="9"/>
      <x:c r="J2" s="9"/>
    </x:row>
    <x:row r="3" ht="31.950000762939453" customHeight="1">
      <x:c r="B3" s="9"/>
      <x:c r="C3" s="9"/>
      <x:c r="D3" s="9"/>
      <x:c r="E3" s="9"/>
      <x:c r="F3" s="9"/>
      <x:c r="G3" s="9"/>
      <x:c r="H3" s="9"/>
      <x:c r="I3" s="9"/>
      <x:c r="J3" s="9"/>
    </x:row>
    <x:row r="4" ht="14.399999618530273">
      <x:c r="B4" s="10" t="s">
        <x:v>161</x:v>
      </x:c>
      <x:c r="C4" s="10"/>
      <x:c r="D4" s="10"/>
      <x:c r="E4" s="10"/>
      <x:c r="F4" s="10"/>
      <x:c r="G4" s="10"/>
      <x:c r="H4" s="10"/>
      <x:c r="I4" s="10"/>
      <x:c r="J4" s="10"/>
    </x:row>
    <x:row r="5">
      <x:c r="B5" s="1"/>
      <x:c r="C5" s="1"/>
      <x:c r="D5" s="1"/>
      <x:c r="E5" s="1"/>
      <x:c r="F5" s="1"/>
      <x:c r="G5" s="1"/>
      <x:c r="H5" s="1"/>
      <x:c r="I5" s="1"/>
      <x:c r="J5" s="1"/>
    </x:row>
    <x:row r="6" ht="24" customHeight="1">
      <x:c r="B6" s="11" t="s">
        <x:v>162</x:v>
      </x:c>
      <x:c r="C6" s="9"/>
      <x:c r="D6" s="9"/>
      <x:c r="E6" s="9"/>
      <x:c r="F6" s="9"/>
      <x:c r="G6" s="9"/>
      <x:c r="H6" s="9"/>
      <x:c r="I6" s="9"/>
      <x:c r="J6" s="9"/>
    </x:row>
    <x:row r="7">
      <x:c r="B7" s="3" t="s">
        <x:v>134</x:v>
      </x:c>
      <x:c r="C7" s="14" t="str">
        <x:v>CC-001</x:v>
      </x:c>
      <x:c r="D7" s="14"/>
      <x:c r="E7" s="14"/>
      <x:c r="F7" s="3" t="s">
        <x:v>135</x:v>
      </x:c>
      <x:c r="G7" s="28" t="n">
        <x:v>46290</x:v>
      </x:c>
      <x:c r="H7" s="15"/>
      <x:c r="I7" s="15"/>
      <x:c r="J7" s="15"/>
    </x:row>
    <x:row r="8">
      <x:c r="B8" s="3" t="s">
        <x:v>57</x:v>
      </x:c>
      <x:c r="C8" s="14" t="str">
        <x:v>Alex Mendoza Morante / Scrum Master</x:v>
      </x:c>
      <x:c r="D8" s="14"/>
      <x:c r="E8" s="14"/>
      <x:c r="F8" s="3" t="s">
        <x:v>136</x:v>
      </x:c>
      <x:c r="G8" s="14" t="str">
        <x:v>Documentación</x:v>
      </x:c>
      <x:c r="H8" s="14"/>
      <x:c r="I8" s="14"/>
      <x:c r="J8" s="14"/>
    </x:row>
    <x:row r="9">
      <x:c r="B9" s="3" t="s">
        <x:v>137</x:v>
      </x:c>
      <x:c r="C9" s="14" t="str">
        <x:v>Delimitación del Acta de Constitución al alcance del MVP</x:v>
      </x:c>
      <x:c r="D9" s="14"/>
      <x:c r="E9" s="14"/>
      <x:c r="F9" s="14"/>
      <x:c r="G9" s="14"/>
      <x:c r="H9" s="14"/>
      <x:c r="I9" s="14"/>
      <x:c r="J9" s="14"/>
    </x:row>
    <x:row r="10" ht="26" customHeight="1">
      <x:c r="B10" s="3" t="s">
        <x:v>138</x:v>
      </x:c>
      <x:c r="C10" s="29" t="str">
        <x:v>Se actualiza el Acta de Constitución para indicar expresamente que la versión de entrega corresponde al MVP. Se ajustan propósito, objetivo, alcance, exclusiones, entregables, Sprint 4, restricciones y aceptación, y se incorpora la referencia formal al Documento del MVP. La modificación evita confundir la visión completa del producto con las funciones comprometidas para esta entrega.</x:v>
      </x:c>
      <x:c r="D10" s="29"/>
      <x:c r="E10" s="29"/>
      <x:c r="F10" s="29"/>
      <x:c r="G10" s="29"/>
      <x:c r="H10" s="29"/>
      <x:c r="I10" s="29"/>
      <x:c r="J10" s="29"/>
    </x:row>
    <x:row r="11" ht="26" customHeight="1">
      <x:c r="B11" s="1"/>
      <x:c r="C11" s="29"/>
      <x:c r="D11" s="29"/>
      <x:c r="E11" s="29"/>
      <x:c r="F11" s="29"/>
      <x:c r="G11" s="29"/>
      <x:c r="H11" s="29"/>
      <x:c r="I11" s="29"/>
      <x:c r="J11" s="29"/>
    </x:row>
    <x:row r="12" ht="26" customHeight="1">
      <x:c r="B12" s="1"/>
      <x:c r="C12" s="29"/>
      <x:c r="D12" s="29"/>
      <x:c r="E12" s="29"/>
      <x:c r="F12" s="29"/>
      <x:c r="G12" s="29"/>
      <x:c r="H12" s="29"/>
      <x:c r="I12" s="29"/>
      <x:c r="J12" s="29"/>
    </x:row>
    <x:row r="13"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4" customHeight="1">
      <x:c r="B14" s="11" t="s">
        <x:v>163</x:v>
      </x:c>
      <x:c r="C14" s="9"/>
      <x:c r="D14" s="9"/>
      <x:c r="E14" s="9"/>
      <x:c r="F14" s="9"/>
      <x:c r="G14" s="9"/>
      <x:c r="H14" s="9"/>
      <x:c r="I14" s="9"/>
      <x:c r="J14" s="9"/>
    </x:row>
    <x:row r="15">
      <x:c r="B15" s="3" t="s">
        <x:v>139</x:v>
      </x:c>
      <x:c r="C15" s="29" t="str">
        <x:v>Acta de Constitución v1.0.0 y Documento del MVP: alcance, entregables, cronograma, restricciones, aceptación y control de versiones.</x:v>
      </x:c>
      <x:c r="D15" s="29"/>
      <x:c r="E15" s="29"/>
      <x:c r="F15" s="29"/>
      <x:c r="G15" s="29"/>
      <x:c r="H15" s="29"/>
      <x:c r="I15" s="29"/>
      <x:c r="J15" s="29"/>
    </x:row>
    <x:row r="16">
      <x:c r="B16" s="3" t="s">
        <x:v>164</x:v>
      </x:c>
      <x:c r="C16" s="29" t="str">
        <x:v>El Acta v1.1.0 debe limitar la entrega al portal público, registro, inicio/cierre de sesión, recuperación de contraseña, panel y perfil básicos, controles de acceso, seguridad y accesibilidad básicas; las funciones operativas completas quedan para una versión posterior y el Documento del MVP figura como referencia rectora.</x:v>
      </x:c>
      <x:c r="D16" s="29"/>
      <x:c r="E16" s="29"/>
      <x:c r="F16" s="29"/>
      <x:c r="G16" s="29"/>
      <x:c r="H16" s="29"/>
      <x:c r="I16" s="29"/>
      <x:c r="J16" s="29"/>
    </x:row>
    <x:row r="17">
      <x:c r="B17" s="3" t="s">
        <x:v>165</x:v>
      </x:c>
      <x:c r="C17" s="29" t="str">
        <x:v>Medio: se redefine y aclara la línea base documental sin añadir funcionalidades al MVP.</x:v>
      </x:c>
      <x:c r="D17" s="29"/>
      <x:c r="E17" s="29"/>
      <x:c r="F17" s="29"/>
      <x:c r="G17" s="29"/>
      <x:c r="H17" s="29"/>
      <x:c r="I17" s="29"/>
      <x:c r="J17" s="29"/>
    </x:row>
    <x:row r="18">
      <x:c r="B18" s="3" t="s">
        <x:v>166</x:v>
      </x:c>
      <x:c r="C18" s="29" t="str">
        <x:v>Sin impacto: se mantiene el Sprint 4 del 20/09/2026 al 04/10/2026 y no se amplían fechas.</x:v>
      </x:c>
      <x:c r="D18" s="29"/>
      <x:c r="E18" s="29"/>
      <x:c r="F18" s="29"/>
      <x:c r="G18" s="29"/>
      <x:c r="H18" s="29"/>
      <x:c r="I18" s="29"/>
      <x:c r="J18" s="29"/>
    </x:row>
    <x:row r="19">
      <x:c r="B19" s="3" t="s">
        <x:v>167</x:v>
      </x:c>
      <x:c r="C19" s="29" t="str">
        <x:v>Bajo: 8 horas internas (Alex 3 h, Víctor 2 h, Kevin 1 h y Luis Rodríguez 2 h), absorbidas por el equipo. Costo externo USD 0,00; sin licencias, servicios, infraestructura ni materiales adicionales. Valorización opcional: 8 h × tarifa referencial institucional.</x:v>
      </x:c>
      <x:c r="D19" s="29"/>
      <x:c r="E19" s="29"/>
      <x:c r="F19" s="29"/>
      <x:c r="G19" s="29"/>
      <x:c r="H19" s="29"/>
      <x:c r="I19" s="29"/>
      <x:c r="J19" s="29"/>
    </x:row>
    <x:row r="20" ht="27.600000381469727">
      <x:c r="B20" s="3" t="s">
        <x:v>168</x:v>
      </x:c>
      <x:c r="C20" s="29" t="str">
        <x:v>Bajo: aumenta la coherencia, trazabilidad y verificabilidad del alcance; no altera la arquitectura ni los controles de seguridad implementados.</x:v>
      </x:c>
      <x:c r="D20" s="29"/>
      <x:c r="E20" s="29"/>
      <x:c r="F20" s="29"/>
      <x:c r="G20" s="29"/>
      <x:c r="H20" s="29"/>
      <x:c r="I20" s="29"/>
      <x:c r="J20" s="29"/>
    </x:row>
    <x:row r="21"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B22" s="3" t="s">
        <x:v>169</x:v>
      </x:c>
      <x:c r="C22" s="14" t="n">
        <x:v>2</x:v>
      </x:c>
      <x:c r="D22" s="14"/>
      <x:c r="E22" s="14"/>
      <x:c r="F22" s="3" t="s">
        <x:v>170</x:v>
      </x:c>
      <x:c r="G22" s="14" t="n">
        <x:v>3</x:v>
      </x:c>
      <x:c r="H22" s="14"/>
      <x:c r="I22" s="3" t="s">
        <x:v>147</x:v>
      </x:c>
      <x:c r="J22" s="5" t="n">
        <x:f>IF(OR(C22="",G22=""),"",C22*G22)</x:f>
        <x:v>6</x:v>
      </x:c>
    </x:row>
    <x:row r="23" ht="28" customHeight="1">
      <x:c r="B23" s="3" t="s">
        <x:v>171</x:v>
      </x:c>
      <x:c r="C23" s="29" t="str">
        <x:v>Riesgo principal: interpretación distinta del alcance entre el Acta, Jira y los entregables. Dependencias: Documento del MVP, backlog y Documento de Visión. Contingencia: revisión cruzada y corrección inmediata de referencias si se detecta una inconsistencia. Exposición 6 (media). No se requiere reserva monetaria.</x:v>
      </x:c>
      <x:c r="D23" s="29"/>
      <x:c r="E23" s="29"/>
      <x:c r="F23" s="29"/>
      <x:c r="G23" s="29"/>
      <x:c r="H23" s="29"/>
      <x:c r="I23" s="29"/>
      <x:c r="J23" s="29"/>
    </x:row>
    <x:row r="24" ht="28" customHeight="1">
      <x:c r="B24" s="1"/>
      <x:c r="C24" s="29"/>
      <x:c r="D24" s="29"/>
      <x:c r="E24" s="29"/>
      <x:c r="F24" s="29"/>
      <x:c r="G24" s="29"/>
      <x:c r="H24" s="29"/>
      <x:c r="I24" s="29"/>
      <x:c r="J24" s="29"/>
    </x:row>
    <x:row r="25" ht="28" customHeight="1">
      <x:c r="B25" s="1"/>
      <x:c r="C25" s="29"/>
      <x:c r="D25" s="29"/>
      <x:c r="E25" s="29"/>
      <x:c r="F25" s="29"/>
      <x:c r="G25" s="29"/>
      <x:c r="H25" s="29"/>
      <x:c r="I25" s="29"/>
      <x:c r="J25" s="29"/>
    </x:row>
    <x:row r="26"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B28" s="11" t="s">
        <x:v>172</x:v>
      </x:c>
      <x:c r="C28" s="9"/>
      <x:c r="D28" s="9"/>
      <x:c r="E28" s="9"/>
      <x:c r="F28" s="9"/>
      <x:c r="G28" s="9"/>
      <x:c r="H28" s="9"/>
      <x:c r="I28" s="9"/>
      <x:c r="J28" s="9"/>
    </x:row>
    <x:row r="29">
      <x:c r="B29" s="3" t="s">
        <x:v>149</x:v>
      </x:c>
      <x:c r="C29" s="14" t="str">
        <x:v>Alex Mendoza Morante / Scrum Master</x:v>
      </x:c>
      <x:c r="D29" s="14"/>
      <x:c r="E29" s="14"/>
      <x:c r="F29" s="3" t="s">
        <x:v>148</x:v>
      </x:c>
      <x:c r="G29" s="14" t="n">
        <x:v>8</x:v>
      </x:c>
      <x:c r="H29" s="14"/>
      <x:c r="I29" s="14"/>
      <x:c r="J29" s="14"/>
    </x:row>
    <x:row r="30">
      <x:c r="B30" s="3" t="s">
        <x:v>150</x:v>
      </x:c>
      <x:c r="C30" s="14" t="str">
        <x:v>Víctor Tello Bravo / Product Owner</x:v>
      </x:c>
      <x:c r="D30" s="14"/>
      <x:c r="E30" s="14"/>
      <x:c r="F30" s="3" t="s">
        <x:v>173</x:v>
      </x:c>
      <x:c r="G30" s="28" t="n">
        <x:v>46290</x:v>
      </x:c>
      <x:c r="H30" s="15"/>
      <x:c r="I30" s="15"/>
      <x:c r="J30" s="15"/>
    </x:row>
    <x:row r="31">
      <x:c r="B31" s="3" t="s">
        <x:v>151</x:v>
      </x:c>
      <x:c r="C31" s="14" t="str">
        <x:v>Aprobar</x:v>
      </x:c>
      <x:c r="D31" s="14"/>
      <x:c r="E31" s="14"/>
      <x:c r="F31" s="3" t="s">
        <x:v>153</x:v>
      </x:c>
      <x:c r="G31" s="28" t="n">
        <x:v>46290</x:v>
      </x:c>
      <x:c r="H31" s="15"/>
      <x:c r="I31" s="15"/>
      <x:c r="J31" s="15"/>
    </x:row>
    <x:row r="32">
      <x:c r="B32" s="3" t="s">
        <x:v>152</x:v>
      </x:c>
      <x:c r="C32" s="14" t="str">
        <x:v>Alex Mendoza Morante / Scrum Master</x:v>
      </x:c>
      <x:c r="D32" s="14"/>
      <x:c r="E32" s="14"/>
      <x:c r="F32" s="3" t="s">
        <x:v>174</x:v>
      </x:c>
      <x:c r="G32" s="14" t="str">
        <x:v>Acta v1.1.0</x:v>
      </x:c>
      <x:c r="H32" s="14"/>
      <x:c r="I32" s="14"/>
      <x:c r="J32" s="14"/>
    </x:row>
    <x:row r="33" ht="28" customHeight="1">
      <x:c r="B33" s="3" t="s">
        <x:v>175</x:v>
      </x:c>
      <x:c r="C33" s="29" t="str">
        <x:v>Actualizar el Acta, contrastarla con el Documento del MVP, validar coherencia funcional y técnica, registrar la nueva versión y conservar evidencia. Condición: no incorporar funciones fuera del MVP ni modificar las fechas del Sprint 4.</x:v>
      </x:c>
      <x:c r="D33" s="29"/>
      <x:c r="E33" s="29"/>
      <x:c r="F33" s="29"/>
      <x:c r="G33" s="29"/>
      <x:c r="H33" s="29"/>
      <x:c r="I33" s="29"/>
      <x:c r="J33" s="29"/>
    </x:row>
    <x:row r="34" ht="28" customHeight="1">
      <x:c r="B34" s="1"/>
      <x:c r="C34" s="29"/>
      <x:c r="D34" s="29"/>
      <x:c r="E34" s="29"/>
      <x:c r="F34" s="29"/>
      <x:c r="G34" s="29"/>
      <x:c r="H34" s="29"/>
      <x:c r="I34" s="29"/>
      <x:c r="J34" s="29"/>
    </x:row>
    <x:row r="35" ht="28" customHeight="1">
      <x:c r="B35" s="1"/>
      <x:c r="C35" s="29"/>
      <x:c r="D35" s="29"/>
      <x:c r="E35" s="29"/>
      <x:c r="F35" s="29"/>
      <x:c r="G35" s="29"/>
      <x:c r="H35" s="29"/>
      <x:c r="I35" s="29"/>
      <x:c r="J35" s="29"/>
    </x:row>
    <x:row r="36"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4" customHeight="1">
      <x:c r="B37" s="11" t="s">
        <x:v>176</x:v>
      </x:c>
      <x:c r="C37" s="9"/>
      <x:c r="D37" s="9"/>
      <x:c r="E37" s="9"/>
      <x:c r="F37" s="9"/>
      <x:c r="G37" s="9"/>
      <x:c r="H37" s="9"/>
      <x:c r="I37" s="9"/>
      <x:c r="J37" s="9"/>
    </x:row>
    <x:row r="38">
      <x:c r="B38" s="3" t="s">
        <x:v>177</x:v>
      </x:c>
      <x:c r="C38" s="29" t="str">
        <x:v>Acta actualizada a la versión 1.1.0. Se delimitó el propósito y objetivo al MVP, se precisaron inclusiones y exclusiones, se añadió el Documento del MVP como referencia y entregable, y se ajustaron Sprint 4, restricciones, aceptación y control de versiones.</x:v>
      </x:c>
      <x:c r="D38" s="29"/>
      <x:c r="E38" s="29"/>
      <x:c r="F38" s="29"/>
      <x:c r="G38" s="29"/>
      <x:c r="H38" s="29"/>
      <x:c r="I38" s="29"/>
      <x:c r="J38" s="29"/>
    </x:row>
    <x:row r="39">
      <x:c r="B39" s="3" t="s">
        <x:v>156</x:v>
      </x:c>
      <x:c r="C39" s="29" t="str">
        <x:v>01 Acta de Constitucion.docx v1.1.0; 10 MVP(1).pdf; tabla de control de versiones del Acta.</x:v>
      </x:c>
      <x:c r="D39" s="29"/>
      <x:c r="E39" s="29"/>
      <x:c r="F39" s="29"/>
      <x:c r="G39" s="29"/>
      <x:c r="H39" s="29"/>
      <x:c r="I39" s="29"/>
      <x:c r="J39" s="29"/>
    </x:row>
    <x:row r="40">
      <x:c r="B40" s="3" t="s">
        <x:v>155</x:v>
      </x:c>
      <x:c r="C40" s="29" t="str">
        <x:v>Conforme</x:v>
      </x:c>
      <x:c r="D40" s="29"/>
      <x:c r="E40" s="29"/>
      <x:c r="F40" s="29"/>
      <x:c r="G40" s="29"/>
      <x:c r="H40" s="29"/>
      <x:c r="I40" s="29"/>
      <x:c r="J40" s="29"/>
    </x:row>
    <x:row r="41">
      <x:c r="B41" s="3" t="s">
        <x:v>157</x:v>
      </x:c>
      <x:c r="C41" s="29" t="str">
        <x:v>Acta v1.1.0</x:v>
      </x:c>
      <x:c r="D41" s="29"/>
      <x:c r="E41" s="29"/>
      <x:c r="F41" s="29"/>
      <x:c r="G41" s="29"/>
      <x:c r="H41" s="29"/>
      <x:c r="I41" s="29"/>
      <x:c r="J41" s="29"/>
    </x:row>
    <x:row r="42">
      <x:c r="B42" s="3" t="s">
        <x:v>158</x:v>
      </x:c>
      <x:c r="C42" s="28" t="n">
        <x:v>46290</x:v>
      </x:c>
      <x:c r="D42" s="6"/>
      <x:c r="E42" s="6"/>
      <x:c r="F42" s="6"/>
      <x:c r="G42" s="6"/>
      <x:c r="H42" s="6"/>
      <x:c r="I42" s="6"/>
      <x:c r="J42" s="6"/>
    </x:row>
    <x:row r="43">
      <x:c r="B43" s="3" t="s">
        <x:v>178</x:v>
      </x:c>
      <x:c r="C43" s="29" t="str">
        <x:v>La aclaración de alcance no genera compras ni extensión del cronograma. Las 8 horas corresponden a esfuerzo académico interno y no a un desembolso. Lección: toda línea base debe distinguir expresamente el MVP de la visión futura antes de planificar y asignar trabajo en Jira.</x:v>
      </x:c>
      <x:c r="D43" s="29"/>
      <x:c r="E43" s="29"/>
      <x:c r="F43" s="29"/>
      <x:c r="G43" s="29"/>
      <x:c r="H43" s="29"/>
      <x:c r="I43" s="29"/>
      <x:c r="J43" s="29"/>
    </x:row>
    <x:row r="44">
      <x:c r="B44" s="1"/>
      <x:c r="C44" s="1"/>
      <x:c r="D44" s="1"/>
      <x:c r="E44" s="1"/>
      <x:c r="F44" s="1"/>
      <x:c r="G44" s="1"/>
      <x:c r="H44" s="1"/>
      <x:c r="I44" s="1"/>
      <x:c r="J44" s="1"/>
    </x:row>
  </x:sheetData>
  <x:mergeCells>
    <x:mergeCell ref="C42:J42"/>
    <x:mergeCell ref="C43:J43"/>
    <x:mergeCell ref="B37:J37"/>
    <x:mergeCell ref="C38:J38"/>
    <x:mergeCell ref="C39:J39"/>
    <x:mergeCell ref="C40:J40"/>
    <x:mergeCell ref="C41:J41"/>
    <x:mergeCell ref="C31:E31"/>
    <x:mergeCell ref="G31:J31"/>
    <x:mergeCell ref="C32:E32"/>
    <x:mergeCell ref="G32:J32"/>
    <x:mergeCell ref="C33:J35"/>
    <x:mergeCell ref="B28:J28"/>
    <x:mergeCell ref="C29:E29"/>
    <x:mergeCell ref="G29:J29"/>
    <x:mergeCell ref="C30:E30"/>
    <x:mergeCell ref="G30:J30"/>
    <x:mergeCell ref="C20:J20"/>
    <x:mergeCell ref="C22:E22"/>
    <x:mergeCell ref="G22:H22"/>
    <x:mergeCell ref="C23:J25"/>
    <x:mergeCell ref="C15:J15"/>
    <x:mergeCell ref="C16:J16"/>
    <x:mergeCell ref="C17:J17"/>
    <x:mergeCell ref="C18:J18"/>
    <x:mergeCell ref="C19:J19"/>
    <x:mergeCell ref="C8:E8"/>
    <x:mergeCell ref="G8:J8"/>
    <x:mergeCell ref="C9:J9"/>
    <x:mergeCell ref="C10:J12"/>
    <x:mergeCell ref="B14:J14"/>
    <x:mergeCell ref="B2:J3"/>
    <x:mergeCell ref="B4:J4"/>
    <x:mergeCell ref="B6:J6"/>
    <x:mergeCell ref="C7:E7"/>
    <x:mergeCell ref="G7:J7"/>
  </x:mergeCells>
  <x:dataValidations count="1">
    <x:dataValidation type="whole" sqref="C22:E22 G22:H22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E9EBF0"/>
  </x:sheetPr>
  <x:sheetViews>
    <x:sheetView showGridLines="0" workbookViewId="0">
      <x:pane ySplit="1" topLeftCell="A2" activePane="bottomLeft" state="frozen"/>
    </x:sheetView>
  </x:sheetViews>
  <x:sheetFormatPr baseColWidth="10" defaultColWidth="8.796875" defaultRowHeight="13.800000190734863"/>
  <x:cols>
    <x:col min="1" max="7" width="24" customWidth="1"/>
    <x:col min="8" max="8" width="34" customWidth="1"/>
  </x:cols>
  <x:sheetData>
    <x:row r="1">
      <x:c r="A1" s="2" t="s">
        <x:v>136</x:v>
      </x:c>
      <x:c r="B1" s="2" t="s">
        <x:v>140</x:v>
      </x:c>
      <x:c r="C1" s="2" t="s">
        <x:v>179</x:v>
      </x:c>
      <x:c r="D1" s="2" t="s">
        <x:v>151</x:v>
      </x:c>
      <x:c r="E1" s="2" t="s">
        <x:v>101</x:v>
      </x:c>
      <x:c r="F1" s="2" t="s">
        <x:v>180</x:v>
      </x:c>
      <x:c r="G1" s="2" t="s">
        <x:v>181</x:v>
      </x:c>
      <x:c r="H1" s="2" t="s">
        <x:v>182</x:v>
      </x:c>
    </x:row>
    <x:row r="2">
      <x:c r="A2" s="5" t="s">
        <x:v>183</x:v>
      </x:c>
      <x:c r="B2" s="5" t="s">
        <x:v>184</x:v>
      </x:c>
      <x:c r="C2" s="5" t="s">
        <x:v>33</x:v>
      </x:c>
      <x:c r="D2" s="5" t="s">
        <x:v>185</x:v>
      </x:c>
      <x:c r="E2" s="5" t="s">
        <x:v>186</x:v>
      </x:c>
      <x:c r="F2" s="5" t="s">
        <x:v>187</x:v>
      </x:c>
      <x:c r="G2" s="5" t="s">
        <x:v>36</x:v>
      </x:c>
      <x:c r="H2" s="5" t="s">
        <x:v>188</x:v>
      </x:c>
    </x:row>
    <x:row r="3">
      <x:c r="A3" s="5" t="s">
        <x:v>189</x:v>
      </x:c>
      <x:c r="B3" s="5" t="s">
        <x:v>190</x:v>
      </x:c>
      <x:c r="C3" s="5" t="s">
        <x:v>36</x:v>
      </x:c>
      <x:c r="D3" s="5" t="s">
        <x:v>191</x:v>
      </x:c>
      <x:c r="E3" s="5" t="s">
        <x:v>60</x:v>
      </x:c>
      <x:c r="F3" s="5" t="s">
        <x:v>192</x:v>
      </x:c>
      <x:c r="G3" s="5" t="s">
        <x:v>39</x:v>
      </x:c>
      <x:c r="H3" s="5" t="s">
        <x:v>193</x:v>
      </x:c>
    </x:row>
    <x:row r="4">
      <x:c r="A4" s="5" t="s">
        <x:v>194</x:v>
      </x:c>
      <x:c r="B4" s="5" t="s">
        <x:v>195</x:v>
      </x:c>
      <x:c r="C4" s="5" t="s">
        <x:v>39</x:v>
      </x:c>
      <x:c r="D4" s="5" t="s">
        <x:v>196</x:v>
      </x:c>
      <x:c r="E4" s="5" t="s">
        <x:v>197</x:v>
      </x:c>
      <x:c r="F4" s="5" t="s">
        <x:v>198</x:v>
      </x:c>
      <x:c r="G4" s="5" t="s">
        <x:v>42</x:v>
      </x:c>
      <x:c r="H4" s="5" t="s">
        <x:v>199</x:v>
      </x:c>
    </x:row>
    <x:row r="5">
      <x:c r="A5" s="5" t="s">
        <x:v>200</x:v>
      </x:c>
      <x:c r="B5" s="5" t="s">
        <x:v>201</x:v>
      </x:c>
      <x:c r="C5" s="5" t="s">
        <x:v>42</x:v>
      </x:c>
      <x:c r="D5" s="5" t="s">
        <x:v>202</x:v>
      </x:c>
      <x:c r="E5" s="5" t="s">
        <x:v>203</x:v>
      </x:c>
      <x:c r="F5" s="5" t="s">
        <x:v>204</x:v>
      </x:c>
      <x:c r="G5" s="5" t="s">
        <x:v>205</x:v>
      </x:c>
      <x:c r="H5" s="5" t="s">
        <x:v>206</x:v>
      </x:c>
    </x:row>
    <x:row r="6">
      <x:c r="A6" s="5" t="s">
        <x:v>207</x:v>
      </x:c>
      <x:c r="B6" s="5"/>
      <x:c r="C6" s="5"/>
      <x:c r="D6" s="5"/>
      <x:c r="E6" s="5" t="s">
        <x:v>208</x:v>
      </x:c>
      <x:c r="F6" s="5" t="s">
        <x:v>209</x:v>
      </x:c>
      <x:c r="G6" s="5"/>
      <x:c r="H6" s="5" t="s">
        <x:v>210</x:v>
      </x:c>
    </x:row>
    <x:row r="7">
      <x:c r="A7" s="5" t="s">
        <x:v>211</x:v>
      </x:c>
      <x:c r="B7" s="5"/>
      <x:c r="C7" s="5"/>
      <x:c r="D7" s="5"/>
      <x:c r="E7" s="5" t="s">
        <x:v>78</x:v>
      </x:c>
      <x:c r="F7" s="5"/>
      <x:c r="G7" s="5"/>
      <x:c r="H7" s="5" t="s">
        <x:v>212</x:v>
      </x:c>
    </x:row>
    <x:row r="8">
      <x:c r="A8" s="5" t="s">
        <x:v>213</x:v>
      </x:c>
      <x:c r="B8" s="5"/>
      <x:c r="C8" s="5"/>
      <x:c r="D8" s="5"/>
      <x:c r="E8" s="5" t="s">
        <x:v>84</x:v>
      </x:c>
      <x:c r="F8" s="5"/>
      <x:c r="G8" s="5"/>
      <x:c r="H8" s="5" t="s">
        <x:v>214</x:v>
      </x:c>
    </x:row>
    <x:row r="9">
      <x:c r="A9" s="5" t="s">
        <x:v>215</x:v>
      </x:c>
      <x:c r="B9" s="5"/>
      <x:c r="C9" s="5"/>
      <x:c r="D9" s="5"/>
      <x:c r="E9" s="5" t="s">
        <x:v>216</x:v>
      </x:c>
      <x:c r="F9" s="5"/>
      <x:c r="G9" s="5"/>
      <x:c r="H9" s="5"/>
    </x:row>
    <x:row r="10">
      <x:c r="A10" s="5"/>
      <x:c r="B10" s="5"/>
      <x:c r="C10" s="5"/>
      <x:c r="D10" s="5"/>
      <x:c r="E10" s="5" t="s">
        <x:v>217</x:v>
      </x:c>
      <x:c r="F10" s="5"/>
      <x:c r="G10" s="5"/>
      <x:c r="H10" s="5"/>
    </x:row>
    <x:row r="11">
      <x:c r="A11" s="5"/>
      <x:c r="B11" s="5"/>
      <x:c r="C11" s="5"/>
      <x:c r="D11" s="5"/>
      <x:c r="E11" s="5" t="s">
        <x:v>218</x:v>
      </x:c>
      <x:c r="F11" s="5"/>
      <x:c r="G11" s="5"/>
      <x:c r="H11" s="5"/>
    </x:row>
    <x:row r="12">
      <x:c r="A12" s="5"/>
      <x:c r="B12" s="5"/>
      <x:c r="C12" s="5"/>
      <x:c r="D12" s="5"/>
      <x:c r="E12" s="5" t="s">
        <x:v>219</x:v>
      </x:c>
      <x:c r="F12" s="5"/>
      <x:c r="G12" s="5"/>
      <x:c r="H12" s="5"/>
    </x:row>
  </x:sheetData>
  <x:pageMargins left="0.7" right="0.7" top="0.75" bottom="0.75" header="0.3" footer="0.3"/>
</x:worksheet>
</file>